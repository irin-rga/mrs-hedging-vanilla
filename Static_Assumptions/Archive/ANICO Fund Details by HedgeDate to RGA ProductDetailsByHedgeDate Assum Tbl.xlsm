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rgare.net\stlfinmkts\MarketRiskMgmt\Pricing Requests\2024-Orion - IUL Hedging\RGA_Process\1_Code\Static_Assumptions\"/>
    </mc:Choice>
  </mc:AlternateContent>
  <xr:revisionPtr revIDLastSave="0" documentId="13_ncr:1_{A66E4965-D935-4317-B6C7-AED83AA98CB2}" xr6:coauthVersionLast="47" xr6:coauthVersionMax="47" xr10:uidLastSave="{00000000-0000-0000-0000-000000000000}"/>
  <bookViews>
    <workbookView xWindow="-110" yWindow="-110" windowWidth="38620" windowHeight="21100" activeTab="2" xr2:uid="{70362374-6900-4527-8B83-D00E826721DB}"/>
  </bookViews>
  <sheets>
    <sheet name="StartingPt" sheetId="1" r:id="rId1"/>
    <sheet name="ProductDetailsByHedgeDate" sheetId="2" r:id="rId2"/>
    <sheet name="Checks_vs_1104_HedgeFile" sheetId="7" r:id="rId3"/>
    <sheet name="New_HdgFctrLU_Tbl" sheetId="4" r:id="rId4"/>
    <sheet name="New_HedgeDates_Tbl" sheetId="5" r:id="rId5"/>
    <sheet name="Checks" sheetId="3" r:id="rId6"/>
    <sheet name="Budget_Checks" sheetId="6" r:id="rId7"/>
  </sheets>
  <definedNames>
    <definedName name="_xlnm._FilterDatabase" localSheetId="1" hidden="1">ProductDetailsByHedgeDate!$A$1:$P$732</definedName>
    <definedName name="StartDt">New_HedgeDates_Tbl!$H$1</definedName>
  </definedNames>
  <calcPr calcId="191029"/>
  <pivotCaches>
    <pivotCache cacheId="9" r:id="rId8"/>
    <pivotCache cacheId="1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9" i="7" l="1"/>
  <c r="M28" i="7"/>
  <c r="M26" i="7"/>
  <c r="M23" i="7"/>
  <c r="M22" i="7"/>
  <c r="M21" i="7"/>
  <c r="M20" i="7"/>
  <c r="M24" i="7"/>
  <c r="N23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N2" i="7"/>
  <c r="M2" i="7"/>
  <c r="Z20" i="7"/>
  <c r="N20" i="7" s="1"/>
  <c r="Z16" i="7"/>
  <c r="N16" i="7" s="1"/>
  <c r="Z10" i="7"/>
  <c r="N10" i="7" s="1"/>
  <c r="Z3" i="7"/>
  <c r="N3" i="7" s="1"/>
  <c r="Z22" i="7"/>
  <c r="N22" i="7" s="1"/>
  <c r="Z14" i="7"/>
  <c r="N14" i="7" s="1"/>
  <c r="Z12" i="7"/>
  <c r="N12" i="7" s="1"/>
  <c r="Z4" i="7"/>
  <c r="N4" i="7" s="1"/>
  <c r="Z27" i="7"/>
  <c r="Z6" i="7"/>
  <c r="N6" i="7" s="1"/>
  <c r="Z26" i="7"/>
  <c r="N26" i="7" s="1"/>
  <c r="Z25" i="7"/>
  <c r="Z5" i="7"/>
  <c r="N5" i="7" s="1"/>
  <c r="Z8" i="7"/>
  <c r="N8" i="7" s="1"/>
  <c r="Z28" i="7"/>
  <c r="N28" i="7" s="1"/>
  <c r="Z9" i="7"/>
  <c r="N9" i="7" s="1"/>
  <c r="Z29" i="7"/>
  <c r="N29" i="7" s="1"/>
  <c r="Z24" i="7"/>
  <c r="N24" i="7" s="1"/>
  <c r="Z19" i="7"/>
  <c r="N19" i="7" s="1"/>
  <c r="Z18" i="7"/>
  <c r="N18" i="7" s="1"/>
  <c r="Z21" i="7"/>
  <c r="N21" i="7" s="1"/>
  <c r="Z17" i="7"/>
  <c r="N17" i="7" s="1"/>
  <c r="Z11" i="7"/>
  <c r="N11" i="7" s="1"/>
  <c r="Z2" i="7"/>
  <c r="Z23" i="7"/>
  <c r="Z15" i="7"/>
  <c r="N15" i="7" s="1"/>
  <c r="Z13" i="7"/>
  <c r="N13" i="7" s="1"/>
  <c r="Z7" i="7"/>
  <c r="N7" i="7" s="1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69" i="6"/>
  <c r="B362" i="5"/>
  <c r="C362" i="5" s="1"/>
  <c r="A362" i="5"/>
  <c r="A4" i="5"/>
  <c r="A5" i="5" s="1"/>
  <c r="A3" i="5"/>
  <c r="B3" i="5" s="1"/>
  <c r="C3" i="5" s="1"/>
  <c r="B2" i="5"/>
  <c r="C2" i="5" s="1"/>
  <c r="E8" i="5" a="1"/>
  <c r="D362" i="5" a="1"/>
  <c r="D3" i="5" a="1"/>
  <c r="D2" i="5" a="1"/>
  <c r="E8" i="5" l="1"/>
  <c r="D362" i="5"/>
  <c r="A6" i="5"/>
  <c r="B5" i="5"/>
  <c r="B4" i="5"/>
  <c r="D2" i="5"/>
  <c r="F2" i="5" s="1"/>
  <c r="D3" i="5"/>
  <c r="F3" i="5" s="1"/>
  <c r="D4" i="5" a="1"/>
  <c r="D5" i="5" a="1"/>
  <c r="D4" i="5" l="1"/>
  <c r="F4" i="5" s="1"/>
  <c r="D5" i="5"/>
  <c r="F5" i="5" s="1"/>
  <c r="C4" i="5"/>
  <c r="B6" i="5"/>
  <c r="A7" i="5"/>
  <c r="C5" i="5"/>
  <c r="D6" i="5" a="1"/>
  <c r="D6" i="5" l="1"/>
  <c r="F6" i="5" s="1"/>
  <c r="B7" i="5"/>
  <c r="A8" i="5"/>
  <c r="C6" i="5"/>
  <c r="D7" i="5" a="1"/>
  <c r="D7" i="5" l="1"/>
  <c r="F7" i="5" s="1"/>
  <c r="A9" i="5"/>
  <c r="B8" i="5"/>
  <c r="C7" i="5"/>
  <c r="D8" i="5" a="1"/>
  <c r="D8" i="5" l="1"/>
  <c r="F8" i="5" s="1"/>
  <c r="C8" i="5"/>
  <c r="B9" i="5"/>
  <c r="A10" i="5"/>
  <c r="D9" i="5" a="1"/>
  <c r="D9" i="5" l="1"/>
  <c r="F9" i="5" s="1"/>
  <c r="B10" i="5"/>
  <c r="A11" i="5"/>
  <c r="C9" i="5"/>
  <c r="D10" i="5" a="1"/>
  <c r="D10" i="5" l="1"/>
  <c r="F10" i="5" s="1"/>
  <c r="A12" i="5"/>
  <c r="B11" i="5"/>
  <c r="C10" i="5"/>
  <c r="D11" i="5" a="1"/>
  <c r="D11" i="5" l="1"/>
  <c r="F11" i="5" s="1"/>
  <c r="C11" i="5"/>
  <c r="B12" i="5"/>
  <c r="A13" i="5"/>
  <c r="D12" i="5" a="1"/>
  <c r="D12" i="5" l="1"/>
  <c r="F12" i="5" s="1"/>
  <c r="A14" i="5"/>
  <c r="B13" i="5"/>
  <c r="C12" i="5"/>
  <c r="D13" i="5" a="1"/>
  <c r="D13" i="5" l="1"/>
  <c r="F13" i="5" s="1"/>
  <c r="C13" i="5"/>
  <c r="A15" i="5"/>
  <c r="B14" i="5"/>
  <c r="D14" i="5" a="1"/>
  <c r="D14" i="5" l="1"/>
  <c r="F14" i="5" s="1"/>
  <c r="C14" i="5"/>
  <c r="A16" i="5"/>
  <c r="B15" i="5"/>
  <c r="D15" i="5" a="1"/>
  <c r="D15" i="5" l="1"/>
  <c r="F15" i="5" s="1"/>
  <c r="C15" i="5"/>
  <c r="A17" i="5"/>
  <c r="B16" i="5"/>
  <c r="D16" i="5" a="1"/>
  <c r="D16" i="5" l="1"/>
  <c r="F16" i="5" s="1"/>
  <c r="C16" i="5"/>
  <c r="B17" i="5"/>
  <c r="A18" i="5"/>
  <c r="D17" i="5" a="1"/>
  <c r="D17" i="5" l="1"/>
  <c r="F17" i="5" s="1"/>
  <c r="B18" i="5"/>
  <c r="A19" i="5"/>
  <c r="C17" i="5"/>
  <c r="D18" i="5" a="1"/>
  <c r="D18" i="5" l="1"/>
  <c r="F18" i="5" s="1"/>
  <c r="A20" i="5"/>
  <c r="B19" i="5"/>
  <c r="C18" i="5"/>
  <c r="D19" i="5" a="1"/>
  <c r="D19" i="5" l="1"/>
  <c r="F19" i="5" s="1"/>
  <c r="C19" i="5"/>
  <c r="B20" i="5"/>
  <c r="A21" i="5"/>
  <c r="D20" i="5" a="1"/>
  <c r="D20" i="5" l="1"/>
  <c r="F20" i="5" s="1"/>
  <c r="C20" i="5"/>
  <c r="A22" i="5"/>
  <c r="B21" i="5"/>
  <c r="D21" i="5" a="1"/>
  <c r="D21" i="5" l="1"/>
  <c r="C21" i="5"/>
  <c r="A23" i="5"/>
  <c r="B22" i="5"/>
  <c r="D22" i="5" a="1"/>
  <c r="D22" i="5" l="1"/>
  <c r="C22" i="5"/>
  <c r="B23" i="5"/>
  <c r="A24" i="5"/>
  <c r="D23" i="5" a="1"/>
  <c r="D23" i="5" l="1"/>
  <c r="A25" i="5"/>
  <c r="B24" i="5"/>
  <c r="C23" i="5"/>
  <c r="D24" i="5" a="1"/>
  <c r="D24" i="5" l="1"/>
  <c r="C24" i="5"/>
  <c r="A26" i="5"/>
  <c r="B25" i="5"/>
  <c r="D25" i="5" a="1"/>
  <c r="D25" i="5" l="1"/>
  <c r="B26" i="5"/>
  <c r="A27" i="5"/>
  <c r="C25" i="5"/>
  <c r="D26" i="5" a="1"/>
  <c r="D26" i="5" l="1"/>
  <c r="A28" i="5"/>
  <c r="B27" i="5"/>
  <c r="C26" i="5"/>
  <c r="D27" i="5" a="1"/>
  <c r="D27" i="5" l="1"/>
  <c r="C27" i="5"/>
  <c r="A29" i="5"/>
  <c r="B28" i="5"/>
  <c r="D28" i="5" a="1"/>
  <c r="D28" i="5" l="1"/>
  <c r="C28" i="5"/>
  <c r="A30" i="5"/>
  <c r="B29" i="5"/>
  <c r="D29" i="5" a="1"/>
  <c r="D29" i="5" l="1"/>
  <c r="C29" i="5"/>
  <c r="A31" i="5"/>
  <c r="B30" i="5"/>
  <c r="D30" i="5" a="1"/>
  <c r="D30" i="5" l="1"/>
  <c r="C30" i="5"/>
  <c r="B31" i="5"/>
  <c r="A32" i="5"/>
  <c r="D31" i="5" a="1"/>
  <c r="D31" i="5" l="1"/>
  <c r="B32" i="5"/>
  <c r="A33" i="5"/>
  <c r="C31" i="5"/>
  <c r="D32" i="5" a="1"/>
  <c r="D32" i="5" l="1"/>
  <c r="A34" i="5"/>
  <c r="B33" i="5"/>
  <c r="C32" i="5"/>
  <c r="D33" i="5" a="1"/>
  <c r="D33" i="5" l="1"/>
  <c r="C33" i="5"/>
  <c r="B34" i="5"/>
  <c r="A35" i="5"/>
  <c r="D34" i="5" a="1"/>
  <c r="D34" i="5" l="1"/>
  <c r="A36" i="5"/>
  <c r="B35" i="5"/>
  <c r="C34" i="5"/>
  <c r="D35" i="5" a="1"/>
  <c r="D35" i="5" l="1"/>
  <c r="C35" i="5"/>
  <c r="A37" i="5"/>
  <c r="B36" i="5"/>
  <c r="D36" i="5" a="1"/>
  <c r="D36" i="5" l="1"/>
  <c r="C36" i="5"/>
  <c r="B37" i="5"/>
  <c r="A38" i="5"/>
  <c r="D37" i="5" a="1"/>
  <c r="D37" i="5" l="1"/>
  <c r="A39" i="5"/>
  <c r="B38" i="5"/>
  <c r="C37" i="5"/>
  <c r="D38" i="5" a="1"/>
  <c r="D38" i="5" l="1"/>
  <c r="C38" i="5"/>
  <c r="A40" i="5"/>
  <c r="B39" i="5"/>
  <c r="D39" i="5" a="1"/>
  <c r="D39" i="5" l="1"/>
  <c r="C39" i="5"/>
  <c r="B40" i="5"/>
  <c r="A41" i="5"/>
  <c r="D40" i="5" a="1"/>
  <c r="D40" i="5" l="1"/>
  <c r="A42" i="5"/>
  <c r="B41" i="5"/>
  <c r="C40" i="5"/>
  <c r="D41" i="5" a="1"/>
  <c r="D41" i="5" l="1"/>
  <c r="C41" i="5"/>
  <c r="A43" i="5"/>
  <c r="B42" i="5"/>
  <c r="D42" i="5" a="1"/>
  <c r="D42" i="5" l="1"/>
  <c r="C42" i="5"/>
  <c r="A44" i="5"/>
  <c r="B43" i="5"/>
  <c r="D43" i="5" a="1"/>
  <c r="D43" i="5" l="1"/>
  <c r="C43" i="5"/>
  <c r="A45" i="5"/>
  <c r="B44" i="5"/>
  <c r="D44" i="5" a="1"/>
  <c r="D44" i="5" l="1"/>
  <c r="C44" i="5"/>
  <c r="B45" i="5"/>
  <c r="A46" i="5"/>
  <c r="D45" i="5" a="1"/>
  <c r="D45" i="5" l="1"/>
  <c r="A47" i="5"/>
  <c r="B46" i="5"/>
  <c r="C45" i="5"/>
  <c r="D46" i="5" a="1"/>
  <c r="D46" i="5" l="1"/>
  <c r="C46" i="5"/>
  <c r="A48" i="5"/>
  <c r="B47" i="5"/>
  <c r="D47" i="5" a="1"/>
  <c r="D47" i="5" l="1"/>
  <c r="C47" i="5"/>
  <c r="B48" i="5"/>
  <c r="A49" i="5"/>
  <c r="D48" i="5" a="1"/>
  <c r="D48" i="5" l="1"/>
  <c r="A50" i="5"/>
  <c r="B49" i="5"/>
  <c r="C48" i="5"/>
  <c r="D49" i="5" a="1"/>
  <c r="D49" i="5" l="1"/>
  <c r="C49" i="5"/>
  <c r="A51" i="5"/>
  <c r="B50" i="5"/>
  <c r="D50" i="5" a="1"/>
  <c r="D50" i="5" l="1"/>
  <c r="C50" i="5"/>
  <c r="B51" i="5"/>
  <c r="A52" i="5"/>
  <c r="D51" i="5" a="1"/>
  <c r="D51" i="5" l="1"/>
  <c r="A53" i="5"/>
  <c r="B52" i="5"/>
  <c r="C51" i="5"/>
  <c r="D52" i="5" a="1"/>
  <c r="D52" i="5" l="1"/>
  <c r="C52" i="5"/>
  <c r="A54" i="5"/>
  <c r="B53" i="5"/>
  <c r="D53" i="5" a="1"/>
  <c r="D53" i="5" l="1"/>
  <c r="C53" i="5"/>
  <c r="B54" i="5"/>
  <c r="A55" i="5"/>
  <c r="D54" i="5" a="1"/>
  <c r="D54" i="5" l="1"/>
  <c r="A56" i="5"/>
  <c r="B55" i="5"/>
  <c r="C54" i="5"/>
  <c r="D55" i="5" a="1"/>
  <c r="D55" i="5" l="1"/>
  <c r="C55" i="5"/>
  <c r="A57" i="5"/>
  <c r="B56" i="5"/>
  <c r="D56" i="5" a="1"/>
  <c r="D56" i="5" l="1"/>
  <c r="C56" i="5"/>
  <c r="B57" i="5"/>
  <c r="A58" i="5"/>
  <c r="D57" i="5" a="1"/>
  <c r="D57" i="5" l="1"/>
  <c r="A59" i="5"/>
  <c r="B58" i="5"/>
  <c r="C57" i="5"/>
  <c r="D58" i="5" a="1"/>
  <c r="D58" i="5" l="1"/>
  <c r="C58" i="5"/>
  <c r="B59" i="5"/>
  <c r="A60" i="5"/>
  <c r="D59" i="5" a="1"/>
  <c r="D59" i="5" l="1"/>
  <c r="B60" i="5"/>
  <c r="A61" i="5"/>
  <c r="C59" i="5"/>
  <c r="D60" i="5" a="1"/>
  <c r="D60" i="5" l="1"/>
  <c r="A62" i="5"/>
  <c r="B61" i="5"/>
  <c r="C60" i="5"/>
  <c r="D61" i="5" a="1"/>
  <c r="D61" i="5" l="1"/>
  <c r="C61" i="5"/>
  <c r="B62" i="5"/>
  <c r="A63" i="5"/>
  <c r="D62" i="5" a="1"/>
  <c r="D62" i="5" l="1"/>
  <c r="A64" i="5"/>
  <c r="B63" i="5"/>
  <c r="C62" i="5"/>
  <c r="D63" i="5" a="1"/>
  <c r="D63" i="5" l="1"/>
  <c r="C63" i="5"/>
  <c r="A65" i="5"/>
  <c r="B64" i="5"/>
  <c r="D64" i="5" a="1"/>
  <c r="D64" i="5" l="1"/>
  <c r="B65" i="5"/>
  <c r="A66" i="5"/>
  <c r="C64" i="5"/>
  <c r="D65" i="5" a="1"/>
  <c r="D65" i="5" l="1"/>
  <c r="B66" i="5"/>
  <c r="A67" i="5"/>
  <c r="C65" i="5"/>
  <c r="D66" i="5" a="1"/>
  <c r="D66" i="5" l="1"/>
  <c r="A68" i="5"/>
  <c r="B67" i="5"/>
  <c r="C66" i="5"/>
  <c r="D67" i="5" a="1"/>
  <c r="D67" i="5" l="1"/>
  <c r="C67" i="5"/>
  <c r="B68" i="5"/>
  <c r="A69" i="5"/>
  <c r="D68" i="5" a="1"/>
  <c r="D68" i="5" l="1"/>
  <c r="B69" i="5"/>
  <c r="A70" i="5"/>
  <c r="C68" i="5"/>
  <c r="D69" i="5" a="1"/>
  <c r="D69" i="5" l="1"/>
  <c r="A71" i="5"/>
  <c r="B70" i="5"/>
  <c r="C69" i="5"/>
  <c r="D70" i="5" a="1"/>
  <c r="D70" i="5" l="1"/>
  <c r="C70" i="5"/>
  <c r="A72" i="5"/>
  <c r="B71" i="5"/>
  <c r="D71" i="5" a="1"/>
  <c r="D71" i="5" l="1"/>
  <c r="C71" i="5"/>
  <c r="B72" i="5"/>
  <c r="A73" i="5"/>
  <c r="D72" i="5" a="1"/>
  <c r="D72" i="5" l="1"/>
  <c r="A74" i="5"/>
  <c r="B73" i="5"/>
  <c r="C72" i="5"/>
  <c r="D73" i="5" a="1"/>
  <c r="D73" i="5" l="1"/>
  <c r="C73" i="5"/>
  <c r="A75" i="5"/>
  <c r="B74" i="5"/>
  <c r="D74" i="5" a="1"/>
  <c r="D74" i="5" l="1"/>
  <c r="C74" i="5"/>
  <c r="B75" i="5"/>
  <c r="A76" i="5"/>
  <c r="D75" i="5" a="1"/>
  <c r="D75" i="5" l="1"/>
  <c r="A77" i="5"/>
  <c r="B76" i="5"/>
  <c r="C75" i="5"/>
  <c r="D76" i="5" a="1"/>
  <c r="D76" i="5" l="1"/>
  <c r="C76" i="5"/>
  <c r="A78" i="5"/>
  <c r="B77" i="5"/>
  <c r="D77" i="5" a="1"/>
  <c r="D77" i="5" l="1"/>
  <c r="C77" i="5"/>
  <c r="B78" i="5"/>
  <c r="A79" i="5"/>
  <c r="D78" i="5" a="1"/>
  <c r="D78" i="5" l="1"/>
  <c r="A80" i="5"/>
  <c r="B79" i="5"/>
  <c r="C78" i="5"/>
  <c r="D79" i="5" a="1"/>
  <c r="D79" i="5" l="1"/>
  <c r="C79" i="5"/>
  <c r="A81" i="5"/>
  <c r="B80" i="5"/>
  <c r="D80" i="5" a="1"/>
  <c r="D80" i="5" l="1"/>
  <c r="C80" i="5"/>
  <c r="B81" i="5"/>
  <c r="A82" i="5"/>
  <c r="D81" i="5" a="1"/>
  <c r="D81" i="5" l="1"/>
  <c r="B82" i="5"/>
  <c r="A83" i="5"/>
  <c r="C81" i="5"/>
  <c r="D82" i="5" a="1"/>
  <c r="D82" i="5" l="1"/>
  <c r="B83" i="5"/>
  <c r="A84" i="5"/>
  <c r="C82" i="5"/>
  <c r="D83" i="5" a="1"/>
  <c r="D83" i="5" l="1"/>
  <c r="A85" i="5"/>
  <c r="B84" i="5"/>
  <c r="C83" i="5"/>
  <c r="D84" i="5" a="1"/>
  <c r="D84" i="5" l="1"/>
  <c r="C84" i="5"/>
  <c r="A86" i="5"/>
  <c r="B85" i="5"/>
  <c r="D85" i="5" a="1"/>
  <c r="D85" i="5" l="1"/>
  <c r="C85" i="5"/>
  <c r="B86" i="5"/>
  <c r="A87" i="5"/>
  <c r="D86" i="5" a="1"/>
  <c r="D86" i="5" l="1"/>
  <c r="C86" i="5"/>
  <c r="A88" i="5"/>
  <c r="B87" i="5"/>
  <c r="D87" i="5" a="1"/>
  <c r="D87" i="5" l="1"/>
  <c r="C87" i="5"/>
  <c r="A89" i="5"/>
  <c r="B88" i="5"/>
  <c r="D88" i="5" a="1"/>
  <c r="D88" i="5" l="1"/>
  <c r="C88" i="5"/>
  <c r="B89" i="5"/>
  <c r="A90" i="5"/>
  <c r="D89" i="5" a="1"/>
  <c r="D89" i="5" l="1"/>
  <c r="A91" i="5"/>
  <c r="B90" i="5"/>
  <c r="C89" i="5"/>
  <c r="D90" i="5" a="1"/>
  <c r="D90" i="5" l="1"/>
  <c r="C90" i="5"/>
  <c r="A92" i="5"/>
  <c r="B91" i="5"/>
  <c r="D91" i="5" a="1"/>
  <c r="D91" i="5" l="1"/>
  <c r="C91" i="5"/>
  <c r="B92" i="5"/>
  <c r="A93" i="5"/>
  <c r="D92" i="5" a="1"/>
  <c r="D92" i="5" l="1"/>
  <c r="C92" i="5"/>
  <c r="A94" i="5"/>
  <c r="B93" i="5"/>
  <c r="D93" i="5" a="1"/>
  <c r="D93" i="5" l="1"/>
  <c r="C93" i="5"/>
  <c r="B94" i="5"/>
  <c r="A95" i="5"/>
  <c r="D94" i="5" a="1"/>
  <c r="D94" i="5" l="1"/>
  <c r="B95" i="5"/>
  <c r="A96" i="5"/>
  <c r="C94" i="5"/>
  <c r="D95" i="5" a="1"/>
  <c r="D95" i="5" l="1"/>
  <c r="A97" i="5"/>
  <c r="B96" i="5"/>
  <c r="C95" i="5"/>
  <c r="D96" i="5" a="1"/>
  <c r="D96" i="5" l="1"/>
  <c r="C96" i="5"/>
  <c r="B97" i="5"/>
  <c r="A98" i="5"/>
  <c r="D97" i="5" a="1"/>
  <c r="D97" i="5" l="1"/>
  <c r="A99" i="5"/>
  <c r="B98" i="5"/>
  <c r="C97" i="5"/>
  <c r="D98" i="5" a="1"/>
  <c r="D98" i="5" l="1"/>
  <c r="C98" i="5"/>
  <c r="A100" i="5"/>
  <c r="B99" i="5"/>
  <c r="D99" i="5" a="1"/>
  <c r="D99" i="5" l="1"/>
  <c r="C99" i="5"/>
  <c r="B100" i="5"/>
  <c r="A101" i="5"/>
  <c r="D100" i="5" a="1"/>
  <c r="D100" i="5" l="1"/>
  <c r="C100" i="5"/>
  <c r="B101" i="5"/>
  <c r="A102" i="5"/>
  <c r="D101" i="5" a="1"/>
  <c r="D101" i="5" l="1"/>
  <c r="C101" i="5"/>
  <c r="A103" i="5"/>
  <c r="B102" i="5"/>
  <c r="D102" i="5" a="1"/>
  <c r="D102" i="5" l="1"/>
  <c r="C102" i="5"/>
  <c r="B103" i="5"/>
  <c r="A104" i="5"/>
  <c r="D103" i="5" a="1"/>
  <c r="D103" i="5" l="1"/>
  <c r="C103" i="5"/>
  <c r="A105" i="5"/>
  <c r="B104" i="5"/>
  <c r="D104" i="5" a="1"/>
  <c r="D104" i="5" l="1"/>
  <c r="C104" i="5"/>
  <c r="B105" i="5"/>
  <c r="A106" i="5"/>
  <c r="D105" i="5" a="1"/>
  <c r="D105" i="5" l="1"/>
  <c r="C105" i="5"/>
  <c r="B106" i="5"/>
  <c r="A107" i="5"/>
  <c r="D106" i="5" a="1"/>
  <c r="D106" i="5" l="1"/>
  <c r="C106" i="5"/>
  <c r="A108" i="5"/>
  <c r="B107" i="5"/>
  <c r="D107" i="5" a="1"/>
  <c r="D107" i="5" l="1"/>
  <c r="C107" i="5"/>
  <c r="B108" i="5"/>
  <c r="A109" i="5"/>
  <c r="D108" i="5" a="1"/>
  <c r="D108" i="5" l="1"/>
  <c r="B109" i="5"/>
  <c r="A110" i="5"/>
  <c r="C108" i="5"/>
  <c r="D109" i="5" a="1"/>
  <c r="D109" i="5" l="1"/>
  <c r="C109" i="5"/>
  <c r="B110" i="5"/>
  <c r="A111" i="5"/>
  <c r="D110" i="5" a="1"/>
  <c r="D110" i="5" l="1"/>
  <c r="C110" i="5"/>
  <c r="B111" i="5"/>
  <c r="A112" i="5"/>
  <c r="D111" i="5" a="1"/>
  <c r="D111" i="5" l="1"/>
  <c r="B112" i="5"/>
  <c r="A113" i="5"/>
  <c r="C111" i="5"/>
  <c r="D112" i="5" a="1"/>
  <c r="D112" i="5" l="1"/>
  <c r="A114" i="5"/>
  <c r="B113" i="5"/>
  <c r="C112" i="5"/>
  <c r="D113" i="5" a="1"/>
  <c r="D113" i="5" l="1"/>
  <c r="C113" i="5"/>
  <c r="A115" i="5"/>
  <c r="B114" i="5"/>
  <c r="D114" i="5" a="1"/>
  <c r="D114" i="5" l="1"/>
  <c r="C114" i="5"/>
  <c r="B115" i="5"/>
  <c r="A116" i="5"/>
  <c r="D115" i="5" a="1"/>
  <c r="D115" i="5" l="1"/>
  <c r="C115" i="5"/>
  <c r="A117" i="5"/>
  <c r="B116" i="5"/>
  <c r="D116" i="5" a="1"/>
  <c r="D116" i="5" l="1"/>
  <c r="A118" i="5"/>
  <c r="B117" i="5"/>
  <c r="C116" i="5"/>
  <c r="D117" i="5" a="1"/>
  <c r="D117" i="5" l="1"/>
  <c r="B118" i="5"/>
  <c r="A119" i="5"/>
  <c r="C117" i="5"/>
  <c r="D118" i="5" a="1"/>
  <c r="D118" i="5" l="1"/>
  <c r="C118" i="5"/>
  <c r="A120" i="5"/>
  <c r="B119" i="5"/>
  <c r="D119" i="5" a="1"/>
  <c r="D119" i="5" l="1"/>
  <c r="C119" i="5"/>
  <c r="A121" i="5"/>
  <c r="B120" i="5"/>
  <c r="D120" i="5" a="1"/>
  <c r="D120" i="5" l="1"/>
  <c r="C120" i="5"/>
  <c r="A122" i="5"/>
  <c r="B121" i="5"/>
  <c r="D121" i="5" a="1"/>
  <c r="D121" i="5" l="1"/>
  <c r="C121" i="5"/>
  <c r="B122" i="5"/>
  <c r="A123" i="5"/>
  <c r="D122" i="5" a="1"/>
  <c r="D122" i="5" l="1"/>
  <c r="A124" i="5"/>
  <c r="B123" i="5"/>
  <c r="C122" i="5"/>
  <c r="D123" i="5" a="1"/>
  <c r="D123" i="5" l="1"/>
  <c r="C123" i="5"/>
  <c r="A125" i="5"/>
  <c r="B124" i="5"/>
  <c r="D124" i="5" a="1"/>
  <c r="D124" i="5" l="1"/>
  <c r="C124" i="5"/>
  <c r="A126" i="5"/>
  <c r="B125" i="5"/>
  <c r="D125" i="5" a="1"/>
  <c r="D125" i="5" l="1"/>
  <c r="C125" i="5"/>
  <c r="B126" i="5"/>
  <c r="A127" i="5"/>
  <c r="D126" i="5" a="1"/>
  <c r="D126" i="5" l="1"/>
  <c r="C126" i="5"/>
  <c r="A128" i="5"/>
  <c r="B127" i="5"/>
  <c r="D127" i="5" a="1"/>
  <c r="D127" i="5" l="1"/>
  <c r="C127" i="5"/>
  <c r="A129" i="5"/>
  <c r="B128" i="5"/>
  <c r="D128" i="5" a="1"/>
  <c r="D128" i="5" l="1"/>
  <c r="C128" i="5"/>
  <c r="A130" i="5"/>
  <c r="B129" i="5"/>
  <c r="D129" i="5" a="1"/>
  <c r="D129" i="5" l="1"/>
  <c r="C129" i="5"/>
  <c r="A131" i="5"/>
  <c r="B130" i="5"/>
  <c r="D130" i="5" a="1"/>
  <c r="D130" i="5" l="1"/>
  <c r="B131" i="5"/>
  <c r="A132" i="5"/>
  <c r="C130" i="5"/>
  <c r="D131" i="5" a="1"/>
  <c r="D131" i="5" l="1"/>
  <c r="B132" i="5"/>
  <c r="A133" i="5"/>
  <c r="C131" i="5"/>
  <c r="D132" i="5" a="1"/>
  <c r="D132" i="5" l="1"/>
  <c r="A134" i="5"/>
  <c r="B133" i="5"/>
  <c r="C132" i="5"/>
  <c r="D133" i="5" a="1"/>
  <c r="D133" i="5" l="1"/>
  <c r="C133" i="5"/>
  <c r="A135" i="5"/>
  <c r="B134" i="5"/>
  <c r="D134" i="5" a="1"/>
  <c r="D134" i="5" l="1"/>
  <c r="C134" i="5"/>
  <c r="B135" i="5"/>
  <c r="A136" i="5"/>
  <c r="D135" i="5" a="1"/>
  <c r="D135" i="5" l="1"/>
  <c r="C135" i="5"/>
  <c r="A137" i="5"/>
  <c r="B136" i="5"/>
  <c r="D136" i="5" a="1"/>
  <c r="D136" i="5" l="1"/>
  <c r="C136" i="5"/>
  <c r="A138" i="5"/>
  <c r="B137" i="5"/>
  <c r="D137" i="5" a="1"/>
  <c r="D137" i="5" l="1"/>
  <c r="C137" i="5"/>
  <c r="B138" i="5"/>
  <c r="A139" i="5"/>
  <c r="D138" i="5" a="1"/>
  <c r="D138" i="5" l="1"/>
  <c r="C138" i="5"/>
  <c r="B139" i="5"/>
  <c r="A140" i="5"/>
  <c r="D139" i="5" a="1"/>
  <c r="D139" i="5" l="1"/>
  <c r="B140" i="5"/>
  <c r="A141" i="5"/>
  <c r="C139" i="5"/>
  <c r="D140" i="5" a="1"/>
  <c r="D140" i="5" l="1"/>
  <c r="B141" i="5"/>
  <c r="A142" i="5"/>
  <c r="C140" i="5"/>
  <c r="D141" i="5" a="1"/>
  <c r="D141" i="5" l="1"/>
  <c r="A143" i="5"/>
  <c r="B142" i="5"/>
  <c r="C141" i="5"/>
  <c r="D142" i="5" a="1"/>
  <c r="D142" i="5" l="1"/>
  <c r="C142" i="5"/>
  <c r="B143" i="5"/>
  <c r="A144" i="5"/>
  <c r="D143" i="5" a="1"/>
  <c r="D143" i="5" l="1"/>
  <c r="B144" i="5"/>
  <c r="A145" i="5"/>
  <c r="C143" i="5"/>
  <c r="D144" i="5" a="1"/>
  <c r="D144" i="5" l="1"/>
  <c r="A146" i="5"/>
  <c r="B145" i="5"/>
  <c r="C144" i="5"/>
  <c r="D145" i="5" a="1"/>
  <c r="D145" i="5" l="1"/>
  <c r="C145" i="5"/>
  <c r="B146" i="5"/>
  <c r="A147" i="5"/>
  <c r="D146" i="5" a="1"/>
  <c r="D146" i="5" l="1"/>
  <c r="B147" i="5"/>
  <c r="A148" i="5"/>
  <c r="C146" i="5"/>
  <c r="D147" i="5" a="1"/>
  <c r="D147" i="5" l="1"/>
  <c r="A149" i="5"/>
  <c r="B148" i="5"/>
  <c r="C147" i="5"/>
  <c r="D148" i="5" a="1"/>
  <c r="D148" i="5" l="1"/>
  <c r="C148" i="5"/>
  <c r="B149" i="5"/>
  <c r="A150" i="5"/>
  <c r="D149" i="5" a="1"/>
  <c r="D149" i="5" l="1"/>
  <c r="A151" i="5"/>
  <c r="B150" i="5"/>
  <c r="C149" i="5"/>
  <c r="D150" i="5" a="1"/>
  <c r="D150" i="5" l="1"/>
  <c r="C150" i="5"/>
  <c r="A152" i="5"/>
  <c r="B151" i="5"/>
  <c r="D151" i="5" a="1"/>
  <c r="D151" i="5" l="1"/>
  <c r="C151" i="5"/>
  <c r="B152" i="5"/>
  <c r="A153" i="5"/>
  <c r="D152" i="5" a="1"/>
  <c r="D152" i="5" l="1"/>
  <c r="A154" i="5"/>
  <c r="B153" i="5"/>
  <c r="C152" i="5"/>
  <c r="D153" i="5" a="1"/>
  <c r="D153" i="5" l="1"/>
  <c r="B154" i="5"/>
  <c r="A155" i="5"/>
  <c r="C153" i="5"/>
  <c r="D154" i="5" a="1"/>
  <c r="D154" i="5" l="1"/>
  <c r="A156" i="5"/>
  <c r="B155" i="5"/>
  <c r="C154" i="5"/>
  <c r="D155" i="5" a="1"/>
  <c r="D155" i="5" l="1"/>
  <c r="A157" i="5"/>
  <c r="B156" i="5"/>
  <c r="C155" i="5"/>
  <c r="D156" i="5" a="1"/>
  <c r="D156" i="5" l="1"/>
  <c r="C156" i="5"/>
  <c r="B157" i="5"/>
  <c r="A158" i="5"/>
  <c r="D157" i="5" a="1"/>
  <c r="D157" i="5" l="1"/>
  <c r="B158" i="5"/>
  <c r="A159" i="5"/>
  <c r="C157" i="5"/>
  <c r="D158" i="5" a="1"/>
  <c r="D158" i="5" l="1"/>
  <c r="A160" i="5"/>
  <c r="B159" i="5"/>
  <c r="C158" i="5"/>
  <c r="D159" i="5" a="1"/>
  <c r="D159" i="5" l="1"/>
  <c r="C159" i="5"/>
  <c r="B160" i="5"/>
  <c r="A161" i="5"/>
  <c r="D160" i="5" a="1"/>
  <c r="D160" i="5" l="1"/>
  <c r="A162" i="5"/>
  <c r="B161" i="5"/>
  <c r="C160" i="5"/>
  <c r="D161" i="5" a="1"/>
  <c r="D161" i="5" l="1"/>
  <c r="C161" i="5"/>
  <c r="A163" i="5"/>
  <c r="B162" i="5"/>
  <c r="D162" i="5" a="1"/>
  <c r="D162" i="5" l="1"/>
  <c r="A164" i="5"/>
  <c r="B163" i="5"/>
  <c r="C162" i="5"/>
  <c r="D163" i="5" a="1"/>
  <c r="D163" i="5" l="1"/>
  <c r="C163" i="5"/>
  <c r="B164" i="5"/>
  <c r="A165" i="5"/>
  <c r="D164" i="5" a="1"/>
  <c r="D164" i="5" l="1"/>
  <c r="A166" i="5"/>
  <c r="B165" i="5"/>
  <c r="C164" i="5"/>
  <c r="D165" i="5" a="1"/>
  <c r="D165" i="5" l="1"/>
  <c r="C165" i="5"/>
  <c r="A167" i="5"/>
  <c r="B166" i="5"/>
  <c r="D166" i="5" a="1"/>
  <c r="D166" i="5" l="1"/>
  <c r="C166" i="5"/>
  <c r="B167" i="5"/>
  <c r="A168" i="5"/>
  <c r="D167" i="5" a="1"/>
  <c r="D167" i="5" l="1"/>
  <c r="C167" i="5"/>
  <c r="B168" i="5"/>
  <c r="A169" i="5"/>
  <c r="D168" i="5" a="1"/>
  <c r="D168" i="5" l="1"/>
  <c r="A170" i="5"/>
  <c r="B169" i="5"/>
  <c r="C168" i="5"/>
  <c r="D169" i="5" a="1"/>
  <c r="D169" i="5" l="1"/>
  <c r="C169" i="5"/>
  <c r="A171" i="5"/>
  <c r="B170" i="5"/>
  <c r="D170" i="5" a="1"/>
  <c r="D170" i="5" l="1"/>
  <c r="C170" i="5"/>
  <c r="B171" i="5"/>
  <c r="A172" i="5"/>
  <c r="D171" i="5" a="1"/>
  <c r="D171" i="5" l="1"/>
  <c r="A173" i="5"/>
  <c r="B172" i="5"/>
  <c r="C171" i="5"/>
  <c r="D172" i="5" a="1"/>
  <c r="D172" i="5" l="1"/>
  <c r="C172" i="5"/>
  <c r="A174" i="5"/>
  <c r="B173" i="5"/>
  <c r="D173" i="5" a="1"/>
  <c r="D173" i="5" l="1"/>
  <c r="C173" i="5"/>
  <c r="B174" i="5"/>
  <c r="A175" i="5"/>
  <c r="D174" i="5" a="1"/>
  <c r="D174" i="5" l="1"/>
  <c r="A176" i="5"/>
  <c r="B175" i="5"/>
  <c r="C174" i="5"/>
  <c r="D175" i="5" a="1"/>
  <c r="D175" i="5" l="1"/>
  <c r="C175" i="5"/>
  <c r="A177" i="5"/>
  <c r="B176" i="5"/>
  <c r="D176" i="5" a="1"/>
  <c r="D176" i="5" l="1"/>
  <c r="C176" i="5"/>
  <c r="B177" i="5"/>
  <c r="A178" i="5"/>
  <c r="D177" i="5" a="1"/>
  <c r="D177" i="5" l="1"/>
  <c r="A179" i="5"/>
  <c r="B178" i="5"/>
  <c r="C177" i="5"/>
  <c r="D178" i="5" a="1"/>
  <c r="D178" i="5" l="1"/>
  <c r="C178" i="5"/>
  <c r="A180" i="5"/>
  <c r="B179" i="5"/>
  <c r="D179" i="5" a="1"/>
  <c r="D179" i="5" l="1"/>
  <c r="C179" i="5"/>
  <c r="B180" i="5"/>
  <c r="A181" i="5"/>
  <c r="D180" i="5" a="1"/>
  <c r="D180" i="5" l="1"/>
  <c r="C180" i="5"/>
  <c r="B181" i="5"/>
  <c r="A182" i="5"/>
  <c r="D181" i="5" a="1"/>
  <c r="D181" i="5" l="1"/>
  <c r="B182" i="5"/>
  <c r="A183" i="5"/>
  <c r="C181" i="5"/>
  <c r="D182" i="5" a="1"/>
  <c r="D182" i="5" l="1"/>
  <c r="A184" i="5"/>
  <c r="B183" i="5"/>
  <c r="C182" i="5"/>
  <c r="D183" i="5" a="1"/>
  <c r="D183" i="5" l="1"/>
  <c r="C183" i="5"/>
  <c r="A185" i="5"/>
  <c r="B184" i="5"/>
  <c r="D184" i="5" a="1"/>
  <c r="D184" i="5" l="1"/>
  <c r="C184" i="5"/>
  <c r="B185" i="5"/>
  <c r="A186" i="5"/>
  <c r="D185" i="5" a="1"/>
  <c r="D185" i="5" l="1"/>
  <c r="C185" i="5"/>
  <c r="A187" i="5"/>
  <c r="B186" i="5"/>
  <c r="D186" i="5" a="1"/>
  <c r="D186" i="5" l="1"/>
  <c r="C186" i="5"/>
  <c r="A188" i="5"/>
  <c r="B187" i="5"/>
  <c r="D187" i="5" a="1"/>
  <c r="D187" i="5" l="1"/>
  <c r="C187" i="5"/>
  <c r="B188" i="5"/>
  <c r="A189" i="5"/>
  <c r="D188" i="5" a="1"/>
  <c r="D188" i="5" l="1"/>
  <c r="A190" i="5"/>
  <c r="B189" i="5"/>
  <c r="C188" i="5"/>
  <c r="D189" i="5" a="1"/>
  <c r="D189" i="5" l="1"/>
  <c r="C189" i="5"/>
  <c r="A191" i="5"/>
  <c r="B190" i="5"/>
  <c r="D190" i="5" a="1"/>
  <c r="D190" i="5" l="1"/>
  <c r="C190" i="5"/>
  <c r="B191" i="5"/>
  <c r="A192" i="5"/>
  <c r="D191" i="5" a="1"/>
  <c r="D191" i="5" l="1"/>
  <c r="A193" i="5"/>
  <c r="B192" i="5"/>
  <c r="C191" i="5"/>
  <c r="D192" i="5" a="1"/>
  <c r="D192" i="5" l="1"/>
  <c r="C192" i="5"/>
  <c r="B193" i="5"/>
  <c r="A194" i="5"/>
  <c r="D193" i="5" a="1"/>
  <c r="D193" i="5" l="1"/>
  <c r="A195" i="5"/>
  <c r="B194" i="5"/>
  <c r="C193" i="5"/>
  <c r="D194" i="5" a="1"/>
  <c r="D194" i="5" l="1"/>
  <c r="C194" i="5"/>
  <c r="A196" i="5"/>
  <c r="B195" i="5"/>
  <c r="D195" i="5" a="1"/>
  <c r="D195" i="5" l="1"/>
  <c r="C195" i="5"/>
  <c r="B196" i="5"/>
  <c r="A197" i="5"/>
  <c r="D196" i="5" a="1"/>
  <c r="D196" i="5" l="1"/>
  <c r="A198" i="5"/>
  <c r="B197" i="5"/>
  <c r="C196" i="5"/>
  <c r="D197" i="5" a="1"/>
  <c r="D197" i="5" l="1"/>
  <c r="C197" i="5"/>
  <c r="A199" i="5"/>
  <c r="B198" i="5"/>
  <c r="D198" i="5" a="1"/>
  <c r="D198" i="5" l="1"/>
  <c r="C198" i="5"/>
  <c r="A200" i="5"/>
  <c r="B199" i="5"/>
  <c r="D199" i="5" a="1"/>
  <c r="D199" i="5" l="1"/>
  <c r="C199" i="5"/>
  <c r="B200" i="5"/>
  <c r="A201" i="5"/>
  <c r="D200" i="5" a="1"/>
  <c r="D200" i="5" l="1"/>
  <c r="B201" i="5"/>
  <c r="A202" i="5"/>
  <c r="C200" i="5"/>
  <c r="D201" i="5" a="1"/>
  <c r="D201" i="5" l="1"/>
  <c r="B202" i="5"/>
  <c r="A203" i="5"/>
  <c r="C201" i="5"/>
  <c r="D202" i="5" a="1"/>
  <c r="D202" i="5" l="1"/>
  <c r="B203" i="5"/>
  <c r="A204" i="5"/>
  <c r="C202" i="5"/>
  <c r="D203" i="5" a="1"/>
  <c r="D203" i="5" l="1"/>
  <c r="A205" i="5"/>
  <c r="B204" i="5"/>
  <c r="C203" i="5"/>
  <c r="D204" i="5" a="1"/>
  <c r="D204" i="5" l="1"/>
  <c r="C204" i="5"/>
  <c r="A206" i="5"/>
  <c r="B205" i="5"/>
  <c r="D205" i="5" a="1"/>
  <c r="D205" i="5" l="1"/>
  <c r="C205" i="5"/>
  <c r="B206" i="5"/>
  <c r="A207" i="5"/>
  <c r="D206" i="5" a="1"/>
  <c r="D206" i="5" l="1"/>
  <c r="C206" i="5"/>
  <c r="A208" i="5"/>
  <c r="B207" i="5"/>
  <c r="D207" i="5" a="1"/>
  <c r="D207" i="5" l="1"/>
  <c r="C207" i="5"/>
  <c r="A209" i="5"/>
  <c r="B208" i="5"/>
  <c r="D208" i="5" a="1"/>
  <c r="D208" i="5" l="1"/>
  <c r="B209" i="5"/>
  <c r="A210" i="5"/>
  <c r="C208" i="5"/>
  <c r="D209" i="5" a="1"/>
  <c r="D209" i="5" l="1"/>
  <c r="B210" i="5"/>
  <c r="A211" i="5"/>
  <c r="C209" i="5"/>
  <c r="D210" i="5" a="1"/>
  <c r="D210" i="5" l="1"/>
  <c r="B211" i="5"/>
  <c r="A212" i="5"/>
  <c r="C210" i="5"/>
  <c r="D211" i="5" a="1"/>
  <c r="D211" i="5" l="1"/>
  <c r="A213" i="5"/>
  <c r="B212" i="5"/>
  <c r="C211" i="5"/>
  <c r="D212" i="5" a="1"/>
  <c r="D212" i="5" l="1"/>
  <c r="C212" i="5"/>
  <c r="B213" i="5"/>
  <c r="A214" i="5"/>
  <c r="D213" i="5" a="1"/>
  <c r="D213" i="5" l="1"/>
  <c r="A215" i="5"/>
  <c r="B214" i="5"/>
  <c r="C213" i="5"/>
  <c r="D214" i="5" a="1"/>
  <c r="D214" i="5" l="1"/>
  <c r="C214" i="5"/>
  <c r="A216" i="5"/>
  <c r="B215" i="5"/>
  <c r="D215" i="5" a="1"/>
  <c r="D215" i="5" l="1"/>
  <c r="C215" i="5"/>
  <c r="B216" i="5"/>
  <c r="A217" i="5"/>
  <c r="D216" i="5" a="1"/>
  <c r="D216" i="5" l="1"/>
  <c r="B217" i="5"/>
  <c r="A218" i="5"/>
  <c r="C216" i="5"/>
  <c r="D217" i="5" a="1"/>
  <c r="D217" i="5" l="1"/>
  <c r="A219" i="5"/>
  <c r="B218" i="5"/>
  <c r="C217" i="5"/>
  <c r="D218" i="5" a="1"/>
  <c r="D218" i="5" l="1"/>
  <c r="C218" i="5"/>
  <c r="B219" i="5"/>
  <c r="A220" i="5"/>
  <c r="D219" i="5" a="1"/>
  <c r="D219" i="5" l="1"/>
  <c r="C219" i="5"/>
  <c r="A221" i="5"/>
  <c r="B220" i="5"/>
  <c r="D220" i="5" a="1"/>
  <c r="D220" i="5" l="1"/>
  <c r="C220" i="5"/>
  <c r="A222" i="5"/>
  <c r="B221" i="5"/>
  <c r="D221" i="5" a="1"/>
  <c r="D221" i="5" l="1"/>
  <c r="C221" i="5"/>
  <c r="A223" i="5"/>
  <c r="B222" i="5"/>
  <c r="D222" i="5" a="1"/>
  <c r="D222" i="5" l="1"/>
  <c r="C222" i="5"/>
  <c r="B223" i="5"/>
  <c r="A224" i="5"/>
  <c r="D223" i="5" a="1"/>
  <c r="D223" i="5" l="1"/>
  <c r="B224" i="5"/>
  <c r="A225" i="5"/>
  <c r="C223" i="5"/>
  <c r="D224" i="5" a="1"/>
  <c r="D224" i="5" l="1"/>
  <c r="A226" i="5"/>
  <c r="B225" i="5"/>
  <c r="C224" i="5"/>
  <c r="D225" i="5" a="1"/>
  <c r="D225" i="5" l="1"/>
  <c r="C225" i="5"/>
  <c r="A227" i="5"/>
  <c r="B226" i="5"/>
  <c r="D226" i="5" a="1"/>
  <c r="D226" i="5" l="1"/>
  <c r="C226" i="5"/>
  <c r="A228" i="5"/>
  <c r="B227" i="5"/>
  <c r="D227" i="5" a="1"/>
  <c r="D227" i="5" l="1"/>
  <c r="A229" i="5"/>
  <c r="B228" i="5"/>
  <c r="C227" i="5"/>
  <c r="D228" i="5" a="1"/>
  <c r="D228" i="5" l="1"/>
  <c r="C228" i="5"/>
  <c r="B229" i="5"/>
  <c r="A230" i="5"/>
  <c r="D229" i="5" a="1"/>
  <c r="D229" i="5" l="1"/>
  <c r="B230" i="5"/>
  <c r="A231" i="5"/>
  <c r="C229" i="5"/>
  <c r="D230" i="5" a="1"/>
  <c r="D230" i="5" l="1"/>
  <c r="A232" i="5"/>
  <c r="B231" i="5"/>
  <c r="C230" i="5"/>
  <c r="D231" i="5" a="1"/>
  <c r="D231" i="5" l="1"/>
  <c r="C231" i="5"/>
  <c r="A233" i="5"/>
  <c r="B232" i="5"/>
  <c r="D232" i="5" a="1"/>
  <c r="D232" i="5" l="1"/>
  <c r="C232" i="5"/>
  <c r="B233" i="5"/>
  <c r="A234" i="5"/>
  <c r="D233" i="5" a="1"/>
  <c r="D233" i="5" l="1"/>
  <c r="A235" i="5"/>
  <c r="B234" i="5"/>
  <c r="C233" i="5"/>
  <c r="D234" i="5" a="1"/>
  <c r="D234" i="5" l="1"/>
  <c r="C234" i="5"/>
  <c r="A236" i="5"/>
  <c r="B235" i="5"/>
  <c r="D235" i="5" a="1"/>
  <c r="D235" i="5" l="1"/>
  <c r="C235" i="5"/>
  <c r="B236" i="5"/>
  <c r="A237" i="5"/>
  <c r="D236" i="5" a="1"/>
  <c r="D236" i="5" l="1"/>
  <c r="A238" i="5"/>
  <c r="B237" i="5"/>
  <c r="C236" i="5"/>
  <c r="D237" i="5" a="1"/>
  <c r="D237" i="5" l="1"/>
  <c r="C237" i="5"/>
  <c r="B238" i="5"/>
  <c r="A239" i="5"/>
  <c r="D238" i="5" a="1"/>
  <c r="D238" i="5" l="1"/>
  <c r="C238" i="5"/>
  <c r="B239" i="5"/>
  <c r="A240" i="5"/>
  <c r="D239" i="5" a="1"/>
  <c r="D239" i="5" l="1"/>
  <c r="A241" i="5"/>
  <c r="B240" i="5"/>
  <c r="C239" i="5"/>
  <c r="D240" i="5" a="1"/>
  <c r="D240" i="5" l="1"/>
  <c r="C240" i="5"/>
  <c r="A242" i="5"/>
  <c r="B241" i="5"/>
  <c r="D241" i="5" a="1"/>
  <c r="D241" i="5" l="1"/>
  <c r="C241" i="5"/>
  <c r="B242" i="5"/>
  <c r="A243" i="5"/>
  <c r="D242" i="5" a="1"/>
  <c r="D242" i="5" l="1"/>
  <c r="C242" i="5"/>
  <c r="A244" i="5"/>
  <c r="B243" i="5"/>
  <c r="D243" i="5" a="1"/>
  <c r="D243" i="5" l="1"/>
  <c r="C243" i="5"/>
  <c r="B244" i="5"/>
  <c r="A245" i="5"/>
  <c r="D244" i="5" a="1"/>
  <c r="D244" i="5" l="1"/>
  <c r="B245" i="5"/>
  <c r="A246" i="5"/>
  <c r="C244" i="5"/>
  <c r="D245" i="5" a="1"/>
  <c r="D245" i="5" l="1"/>
  <c r="A247" i="5"/>
  <c r="B246" i="5"/>
  <c r="C245" i="5"/>
  <c r="D246" i="5" a="1"/>
  <c r="D246" i="5" l="1"/>
  <c r="C246" i="5"/>
  <c r="A248" i="5"/>
  <c r="B247" i="5"/>
  <c r="D247" i="5" a="1"/>
  <c r="D247" i="5" l="1"/>
  <c r="C247" i="5"/>
  <c r="A249" i="5"/>
  <c r="B248" i="5"/>
  <c r="D248" i="5" a="1"/>
  <c r="D248" i="5" l="1"/>
  <c r="C248" i="5"/>
  <c r="B249" i="5"/>
  <c r="A250" i="5"/>
  <c r="D249" i="5" a="1"/>
  <c r="D249" i="5" l="1"/>
  <c r="C249" i="5"/>
  <c r="A251" i="5"/>
  <c r="B250" i="5"/>
  <c r="D250" i="5" a="1"/>
  <c r="D250" i="5" l="1"/>
  <c r="C250" i="5"/>
  <c r="A252" i="5"/>
  <c r="B251" i="5"/>
  <c r="D251" i="5" a="1"/>
  <c r="D251" i="5" l="1"/>
  <c r="C251" i="5"/>
  <c r="B252" i="5"/>
  <c r="A253" i="5"/>
  <c r="D252" i="5" a="1"/>
  <c r="D252" i="5" l="1"/>
  <c r="A254" i="5"/>
  <c r="B253" i="5"/>
  <c r="C252" i="5"/>
  <c r="D253" i="5" a="1"/>
  <c r="D253" i="5" l="1"/>
  <c r="A255" i="5"/>
  <c r="B254" i="5"/>
  <c r="C253" i="5"/>
  <c r="D254" i="5" a="1"/>
  <c r="D254" i="5" l="1"/>
  <c r="C254" i="5"/>
  <c r="B255" i="5"/>
  <c r="A256" i="5"/>
  <c r="D255" i="5" a="1"/>
  <c r="D255" i="5" l="1"/>
  <c r="A257" i="5"/>
  <c r="B256" i="5"/>
  <c r="C255" i="5"/>
  <c r="D256" i="5" a="1"/>
  <c r="D256" i="5" l="1"/>
  <c r="A258" i="5"/>
  <c r="B257" i="5"/>
  <c r="C256" i="5"/>
  <c r="D257" i="5" a="1"/>
  <c r="D257" i="5" l="1"/>
  <c r="C257" i="5"/>
  <c r="B258" i="5"/>
  <c r="A259" i="5"/>
  <c r="D258" i="5" a="1"/>
  <c r="D258" i="5" l="1"/>
  <c r="B259" i="5"/>
  <c r="A260" i="5"/>
  <c r="C258" i="5"/>
  <c r="D259" i="5" a="1"/>
  <c r="D259" i="5" l="1"/>
  <c r="A261" i="5"/>
  <c r="B260" i="5"/>
  <c r="C259" i="5"/>
  <c r="D260" i="5" a="1"/>
  <c r="D260" i="5" l="1"/>
  <c r="C260" i="5"/>
  <c r="A262" i="5"/>
  <c r="B261" i="5"/>
  <c r="D261" i="5" a="1"/>
  <c r="D261" i="5" l="1"/>
  <c r="C261" i="5"/>
  <c r="B262" i="5"/>
  <c r="A263" i="5"/>
  <c r="D262" i="5" a="1"/>
  <c r="D262" i="5" l="1"/>
  <c r="A264" i="5"/>
  <c r="B263" i="5"/>
  <c r="C262" i="5"/>
  <c r="D263" i="5" a="1"/>
  <c r="D263" i="5" l="1"/>
  <c r="A265" i="5"/>
  <c r="B264" i="5"/>
  <c r="C263" i="5"/>
  <c r="D264" i="5" a="1"/>
  <c r="D264" i="5" l="1"/>
  <c r="C264" i="5"/>
  <c r="B265" i="5"/>
  <c r="A266" i="5"/>
  <c r="D265" i="5" a="1"/>
  <c r="D265" i="5" l="1"/>
  <c r="C265" i="5"/>
  <c r="B266" i="5"/>
  <c r="A267" i="5"/>
  <c r="D266" i="5" a="1"/>
  <c r="D266" i="5" l="1"/>
  <c r="A268" i="5"/>
  <c r="B267" i="5"/>
  <c r="C266" i="5"/>
  <c r="D267" i="5" a="1"/>
  <c r="D267" i="5" l="1"/>
  <c r="C267" i="5"/>
  <c r="A269" i="5"/>
  <c r="B268" i="5"/>
  <c r="D268" i="5" a="1"/>
  <c r="D268" i="5" l="1"/>
  <c r="C268" i="5"/>
  <c r="B269" i="5"/>
  <c r="A270" i="5"/>
  <c r="D269" i="5" a="1"/>
  <c r="D269" i="5" l="1"/>
  <c r="A271" i="5"/>
  <c r="B270" i="5"/>
  <c r="C269" i="5"/>
  <c r="D270" i="5" a="1"/>
  <c r="D270" i="5" l="1"/>
  <c r="C270" i="5"/>
  <c r="A272" i="5"/>
  <c r="B271" i="5"/>
  <c r="D271" i="5" a="1"/>
  <c r="D271" i="5" l="1"/>
  <c r="C271" i="5"/>
  <c r="B272" i="5"/>
  <c r="A273" i="5"/>
  <c r="D272" i="5" a="1"/>
  <c r="D272" i="5" l="1"/>
  <c r="C272" i="5"/>
  <c r="B273" i="5"/>
  <c r="A274" i="5"/>
  <c r="D273" i="5" a="1"/>
  <c r="D273" i="5" l="1"/>
  <c r="C273" i="5"/>
  <c r="A275" i="5"/>
  <c r="B274" i="5"/>
  <c r="D274" i="5" a="1"/>
  <c r="D274" i="5" l="1"/>
  <c r="C274" i="5"/>
  <c r="B275" i="5"/>
  <c r="A276" i="5"/>
  <c r="D275" i="5" a="1"/>
  <c r="D275" i="5" l="1"/>
  <c r="C275" i="5"/>
  <c r="A277" i="5"/>
  <c r="B276" i="5"/>
  <c r="D276" i="5" a="1"/>
  <c r="D276" i="5" l="1"/>
  <c r="C276" i="5"/>
  <c r="A278" i="5"/>
  <c r="B277" i="5"/>
  <c r="D277" i="5" a="1"/>
  <c r="D277" i="5" l="1"/>
  <c r="B278" i="5"/>
  <c r="A279" i="5"/>
  <c r="C277" i="5"/>
  <c r="D278" i="5" a="1"/>
  <c r="D278" i="5" l="1"/>
  <c r="C278" i="5"/>
  <c r="B279" i="5"/>
  <c r="A280" i="5"/>
  <c r="D279" i="5" a="1"/>
  <c r="D279" i="5" l="1"/>
  <c r="B280" i="5"/>
  <c r="A281" i="5"/>
  <c r="C279" i="5"/>
  <c r="D280" i="5" a="1"/>
  <c r="D280" i="5" l="1"/>
  <c r="B281" i="5"/>
  <c r="A282" i="5"/>
  <c r="C280" i="5"/>
  <c r="D281" i="5" a="1"/>
  <c r="D281" i="5" l="1"/>
  <c r="A283" i="5"/>
  <c r="B282" i="5"/>
  <c r="C281" i="5"/>
  <c r="D282" i="5" a="1"/>
  <c r="D282" i="5" l="1"/>
  <c r="C282" i="5"/>
  <c r="A284" i="5"/>
  <c r="B283" i="5"/>
  <c r="D283" i="5" a="1"/>
  <c r="D283" i="5" l="1"/>
  <c r="C283" i="5"/>
  <c r="A285" i="5"/>
  <c r="B284" i="5"/>
  <c r="D284" i="5" a="1"/>
  <c r="D284" i="5" l="1"/>
  <c r="C284" i="5"/>
  <c r="B285" i="5"/>
  <c r="A286" i="5"/>
  <c r="D285" i="5" a="1"/>
  <c r="D285" i="5" l="1"/>
  <c r="B286" i="5"/>
  <c r="A287" i="5"/>
  <c r="C285" i="5"/>
  <c r="D286" i="5" a="1"/>
  <c r="D286" i="5" l="1"/>
  <c r="C286" i="5"/>
  <c r="A288" i="5"/>
  <c r="B287" i="5"/>
  <c r="D287" i="5" a="1"/>
  <c r="D287" i="5" l="1"/>
  <c r="C287" i="5"/>
  <c r="A289" i="5"/>
  <c r="B288" i="5"/>
  <c r="D288" i="5" a="1"/>
  <c r="D288" i="5" l="1"/>
  <c r="C288" i="5"/>
  <c r="A290" i="5"/>
  <c r="B289" i="5"/>
  <c r="D289" i="5" a="1"/>
  <c r="D289" i="5" l="1"/>
  <c r="C289" i="5"/>
  <c r="A291" i="5"/>
  <c r="B290" i="5"/>
  <c r="D290" i="5" a="1"/>
  <c r="D290" i="5" l="1"/>
  <c r="C290" i="5"/>
  <c r="B291" i="5"/>
  <c r="A292" i="5"/>
  <c r="D291" i="5" a="1"/>
  <c r="D291" i="5" l="1"/>
  <c r="B292" i="5"/>
  <c r="A293" i="5"/>
  <c r="C291" i="5"/>
  <c r="D292" i="5" a="1"/>
  <c r="D292" i="5" l="1"/>
  <c r="A294" i="5"/>
  <c r="B293" i="5"/>
  <c r="C292" i="5"/>
  <c r="D293" i="5" a="1"/>
  <c r="D293" i="5" l="1"/>
  <c r="C293" i="5"/>
  <c r="B294" i="5"/>
  <c r="A295" i="5"/>
  <c r="D294" i="5" a="1"/>
  <c r="D294" i="5" l="1"/>
  <c r="B295" i="5"/>
  <c r="A296" i="5"/>
  <c r="C294" i="5"/>
  <c r="D295" i="5" a="1"/>
  <c r="D295" i="5" l="1"/>
  <c r="A297" i="5"/>
  <c r="B296" i="5"/>
  <c r="C295" i="5"/>
  <c r="D296" i="5" a="1"/>
  <c r="D296" i="5" l="1"/>
  <c r="C296" i="5"/>
  <c r="A298" i="5"/>
  <c r="B297" i="5"/>
  <c r="D297" i="5" a="1"/>
  <c r="D297" i="5" l="1"/>
  <c r="C297" i="5"/>
  <c r="B298" i="5"/>
  <c r="A299" i="5"/>
  <c r="D298" i="5" a="1"/>
  <c r="D298" i="5" l="1"/>
  <c r="C298" i="5"/>
  <c r="A300" i="5"/>
  <c r="B299" i="5"/>
  <c r="D299" i="5" a="1"/>
  <c r="D299" i="5" l="1"/>
  <c r="C299" i="5"/>
  <c r="B300" i="5"/>
  <c r="A301" i="5"/>
  <c r="D300" i="5" a="1"/>
  <c r="D300" i="5" l="1"/>
  <c r="C300" i="5"/>
  <c r="B301" i="5"/>
  <c r="A302" i="5"/>
  <c r="D301" i="5" a="1"/>
  <c r="D301" i="5" l="1"/>
  <c r="A303" i="5"/>
  <c r="B302" i="5"/>
  <c r="C301" i="5"/>
  <c r="D302" i="5" a="1"/>
  <c r="D302" i="5" l="1"/>
  <c r="C302" i="5"/>
  <c r="A304" i="5"/>
  <c r="B303" i="5"/>
  <c r="D303" i="5" a="1"/>
  <c r="D303" i="5" l="1"/>
  <c r="C303" i="5"/>
  <c r="B304" i="5"/>
  <c r="A305" i="5"/>
  <c r="D304" i="5" a="1"/>
  <c r="D304" i="5" l="1"/>
  <c r="A306" i="5"/>
  <c r="B305" i="5"/>
  <c r="C304" i="5"/>
  <c r="D305" i="5" a="1"/>
  <c r="D305" i="5" l="1"/>
  <c r="C305" i="5"/>
  <c r="A307" i="5"/>
  <c r="B306" i="5"/>
  <c r="D306" i="5" a="1"/>
  <c r="D306" i="5" l="1"/>
  <c r="C306" i="5"/>
  <c r="B307" i="5"/>
  <c r="A308" i="5"/>
  <c r="D307" i="5" a="1"/>
  <c r="D307" i="5" l="1"/>
  <c r="C307" i="5"/>
  <c r="B308" i="5"/>
  <c r="A309" i="5"/>
  <c r="D308" i="5" a="1"/>
  <c r="D308" i="5" l="1"/>
  <c r="A310" i="5"/>
  <c r="B309" i="5"/>
  <c r="C308" i="5"/>
  <c r="D309" i="5" a="1"/>
  <c r="D309" i="5" l="1"/>
  <c r="A311" i="5"/>
  <c r="B310" i="5"/>
  <c r="C309" i="5"/>
  <c r="D310" i="5" a="1"/>
  <c r="D310" i="5" l="1"/>
  <c r="C310" i="5"/>
  <c r="B311" i="5"/>
  <c r="A312" i="5"/>
  <c r="D311" i="5" a="1"/>
  <c r="D311" i="5" l="1"/>
  <c r="A313" i="5"/>
  <c r="B312" i="5"/>
  <c r="C311" i="5"/>
  <c r="D312" i="5" a="1"/>
  <c r="D312" i="5" l="1"/>
  <c r="C312" i="5"/>
  <c r="A314" i="5"/>
  <c r="B313" i="5"/>
  <c r="D313" i="5" a="1"/>
  <c r="D313" i="5" l="1"/>
  <c r="C313" i="5"/>
  <c r="B314" i="5"/>
  <c r="A315" i="5"/>
  <c r="D314" i="5" a="1"/>
  <c r="D314" i="5" l="1"/>
  <c r="C314" i="5"/>
  <c r="B315" i="5"/>
  <c r="A316" i="5"/>
  <c r="D315" i="5" a="1"/>
  <c r="D315" i="5" l="1"/>
  <c r="A317" i="5"/>
  <c r="B316" i="5"/>
  <c r="C315" i="5"/>
  <c r="D316" i="5" a="1"/>
  <c r="D316" i="5" l="1"/>
  <c r="C316" i="5"/>
  <c r="B317" i="5"/>
  <c r="A318" i="5"/>
  <c r="D317" i="5" a="1"/>
  <c r="D317" i="5" l="1"/>
  <c r="A319" i="5"/>
  <c r="B318" i="5"/>
  <c r="C317" i="5"/>
  <c r="D318" i="5" a="1"/>
  <c r="D318" i="5" l="1"/>
  <c r="C318" i="5"/>
  <c r="B319" i="5"/>
  <c r="A320" i="5"/>
  <c r="D319" i="5" a="1"/>
  <c r="D319" i="5" l="1"/>
  <c r="A321" i="5"/>
  <c r="B320" i="5"/>
  <c r="C319" i="5"/>
  <c r="D320" i="5" a="1"/>
  <c r="D320" i="5" l="1"/>
  <c r="C320" i="5"/>
  <c r="B321" i="5"/>
  <c r="A322" i="5"/>
  <c r="D321" i="5" a="1"/>
  <c r="D321" i="5" l="1"/>
  <c r="B322" i="5"/>
  <c r="A323" i="5"/>
  <c r="C321" i="5"/>
  <c r="D322" i="5" a="1"/>
  <c r="D322" i="5" l="1"/>
  <c r="A324" i="5"/>
  <c r="B323" i="5"/>
  <c r="C322" i="5"/>
  <c r="D323" i="5" a="1"/>
  <c r="D323" i="5" l="1"/>
  <c r="C323" i="5"/>
  <c r="A325" i="5"/>
  <c r="B324" i="5"/>
  <c r="D324" i="5" a="1"/>
  <c r="D324" i="5" l="1"/>
  <c r="B325" i="5"/>
  <c r="A326" i="5"/>
  <c r="C324" i="5"/>
  <c r="D325" i="5" a="1"/>
  <c r="D325" i="5" l="1"/>
  <c r="A327" i="5"/>
  <c r="B326" i="5"/>
  <c r="C325" i="5"/>
  <c r="D326" i="5" a="1"/>
  <c r="D326" i="5" l="1"/>
  <c r="C326" i="5"/>
  <c r="B327" i="5"/>
  <c r="A328" i="5"/>
  <c r="D327" i="5" a="1"/>
  <c r="D327" i="5" l="1"/>
  <c r="C327" i="5"/>
  <c r="B328" i="5"/>
  <c r="A329" i="5"/>
  <c r="D328" i="5" a="1"/>
  <c r="D328" i="5" l="1"/>
  <c r="A330" i="5"/>
  <c r="B329" i="5"/>
  <c r="C328" i="5"/>
  <c r="D329" i="5" a="1"/>
  <c r="D329" i="5" l="1"/>
  <c r="C329" i="5"/>
  <c r="A331" i="5"/>
  <c r="B330" i="5"/>
  <c r="D330" i="5" a="1"/>
  <c r="D330" i="5" l="1"/>
  <c r="C330" i="5"/>
  <c r="B331" i="5"/>
  <c r="A332" i="5"/>
  <c r="D331" i="5" a="1"/>
  <c r="D331" i="5" l="1"/>
  <c r="A333" i="5"/>
  <c r="B332" i="5"/>
  <c r="C331" i="5"/>
  <c r="D332" i="5" a="1"/>
  <c r="D332" i="5" l="1"/>
  <c r="C332" i="5"/>
  <c r="A334" i="5"/>
  <c r="B333" i="5"/>
  <c r="D333" i="5" a="1"/>
  <c r="D333" i="5" l="1"/>
  <c r="C333" i="5"/>
  <c r="B334" i="5"/>
  <c r="A335" i="5"/>
  <c r="D334" i="5" a="1"/>
  <c r="D334" i="5" l="1"/>
  <c r="A336" i="5"/>
  <c r="B335" i="5"/>
  <c r="C334" i="5"/>
  <c r="D335" i="5" a="1"/>
  <c r="D335" i="5" l="1"/>
  <c r="C335" i="5"/>
  <c r="B336" i="5"/>
  <c r="A337" i="5"/>
  <c r="D336" i="5" a="1"/>
  <c r="D336" i="5" l="1"/>
  <c r="C336" i="5"/>
  <c r="B337" i="5"/>
  <c r="A338" i="5"/>
  <c r="D337" i="5" a="1"/>
  <c r="D337" i="5" l="1"/>
  <c r="A339" i="5"/>
  <c r="B338" i="5"/>
  <c r="C337" i="5"/>
  <c r="D338" i="5" a="1"/>
  <c r="D338" i="5" l="1"/>
  <c r="C338" i="5"/>
  <c r="A340" i="5"/>
  <c r="B339" i="5"/>
  <c r="D339" i="5" a="1"/>
  <c r="D339" i="5" l="1"/>
  <c r="C339" i="5"/>
  <c r="B340" i="5"/>
  <c r="A341" i="5"/>
  <c r="D340" i="5" a="1"/>
  <c r="D340" i="5" l="1"/>
  <c r="B341" i="5"/>
  <c r="A342" i="5"/>
  <c r="C340" i="5"/>
  <c r="D341" i="5" a="1"/>
  <c r="D341" i="5" l="1"/>
  <c r="B342" i="5"/>
  <c r="A343" i="5"/>
  <c r="C341" i="5"/>
  <c r="D342" i="5" a="1"/>
  <c r="D342" i="5" l="1"/>
  <c r="C342" i="5"/>
  <c r="A344" i="5"/>
  <c r="B343" i="5"/>
  <c r="D343" i="5" a="1"/>
  <c r="D343" i="5" l="1"/>
  <c r="C343" i="5"/>
  <c r="A345" i="5"/>
  <c r="B344" i="5"/>
  <c r="D344" i="5" a="1"/>
  <c r="D344" i="5" l="1"/>
  <c r="C344" i="5"/>
  <c r="B345" i="5"/>
  <c r="A346" i="5"/>
  <c r="D345" i="5" a="1"/>
  <c r="D345" i="5" l="1"/>
  <c r="A347" i="5"/>
  <c r="B346" i="5"/>
  <c r="C345" i="5"/>
  <c r="D346" i="5" a="1"/>
  <c r="D346" i="5" l="1"/>
  <c r="C346" i="5"/>
  <c r="B347" i="5"/>
  <c r="A348" i="5"/>
  <c r="D347" i="5" a="1"/>
  <c r="D347" i="5" l="1"/>
  <c r="B348" i="5"/>
  <c r="A349" i="5"/>
  <c r="C347" i="5"/>
  <c r="D348" i="5" a="1"/>
  <c r="D348" i="5" l="1"/>
  <c r="A350" i="5"/>
  <c r="B349" i="5"/>
  <c r="C348" i="5"/>
  <c r="D349" i="5" a="1"/>
  <c r="D349" i="5" l="1"/>
  <c r="C349" i="5"/>
  <c r="B350" i="5"/>
  <c r="A351" i="5"/>
  <c r="D350" i="5" a="1"/>
  <c r="D350" i="5" l="1"/>
  <c r="A352" i="5"/>
  <c r="B351" i="5"/>
  <c r="C350" i="5"/>
  <c r="D351" i="5" a="1"/>
  <c r="D351" i="5" l="1"/>
  <c r="C351" i="5"/>
  <c r="A353" i="5"/>
  <c r="B352" i="5"/>
  <c r="D352" i="5" a="1"/>
  <c r="D352" i="5" l="1"/>
  <c r="C352" i="5"/>
  <c r="B353" i="5"/>
  <c r="A354" i="5"/>
  <c r="D353" i="5" a="1"/>
  <c r="D353" i="5" l="1"/>
  <c r="A355" i="5"/>
  <c r="B354" i="5"/>
  <c r="C353" i="5"/>
  <c r="D354" i="5" a="1"/>
  <c r="D354" i="5" l="1"/>
  <c r="C354" i="5"/>
  <c r="A356" i="5"/>
  <c r="B355" i="5"/>
  <c r="D355" i="5" a="1"/>
  <c r="D355" i="5" l="1"/>
  <c r="C355" i="5"/>
  <c r="B356" i="5"/>
  <c r="A357" i="5"/>
  <c r="D356" i="5" a="1"/>
  <c r="D356" i="5" l="1"/>
  <c r="A358" i="5"/>
  <c r="B357" i="5"/>
  <c r="C356" i="5"/>
  <c r="D357" i="5" a="1"/>
  <c r="D357" i="5" l="1"/>
  <c r="C357" i="5"/>
  <c r="A359" i="5"/>
  <c r="B358" i="5"/>
  <c r="D358" i="5" a="1"/>
  <c r="D358" i="5" l="1"/>
  <c r="C358" i="5"/>
  <c r="B359" i="5"/>
  <c r="A360" i="5"/>
  <c r="D359" i="5" a="1"/>
  <c r="D359" i="5" l="1"/>
  <c r="A361" i="5"/>
  <c r="B361" i="5" s="1"/>
  <c r="B360" i="5"/>
  <c r="C359" i="5"/>
  <c r="D361" i="5" a="1"/>
  <c r="D360" i="5" a="1"/>
  <c r="D360" i="5" l="1"/>
  <c r="D361" i="5"/>
  <c r="C360" i="5"/>
  <c r="C36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<sst xmlns="http://schemas.openxmlformats.org/spreadsheetml/2006/main" count="5508" uniqueCount="104">
  <si>
    <t>HedgeDate</t>
  </si>
  <si>
    <t>Product_Detail</t>
  </si>
  <si>
    <t>Indicator</t>
  </si>
  <si>
    <t>Budget</t>
  </si>
  <si>
    <t>Part</t>
  </si>
  <si>
    <t>Cap</t>
  </si>
  <si>
    <t>Floor</t>
  </si>
  <si>
    <t>Spec_Rate</t>
  </si>
  <si>
    <t>Spread</t>
  </si>
  <si>
    <t>Asset_Charge</t>
  </si>
  <si>
    <t>Multiplier</t>
  </si>
  <si>
    <t>HdgFctr</t>
  </si>
  <si>
    <t>IUL08</t>
  </si>
  <si>
    <t>INDEX</t>
  </si>
  <si>
    <t>N/A</t>
  </si>
  <si>
    <t>IUL14</t>
  </si>
  <si>
    <t>INX150</t>
  </si>
  <si>
    <t>INXFEE</t>
  </si>
  <si>
    <t>INXSPC</t>
  </si>
  <si>
    <t>IUL14B</t>
  </si>
  <si>
    <t>IUL19</t>
  </si>
  <si>
    <t>INXHIM</t>
  </si>
  <si>
    <t>INXLOM</t>
  </si>
  <si>
    <t>IUL21</t>
  </si>
  <si>
    <t>MARPRT</t>
  </si>
  <si>
    <t>NASIDX</t>
  </si>
  <si>
    <t>IUL23</t>
  </si>
  <si>
    <t>GIUL21</t>
  </si>
  <si>
    <t>IUL14NY</t>
  </si>
  <si>
    <t>IUL14BNY</t>
  </si>
  <si>
    <t>GIUL23</t>
  </si>
  <si>
    <t>Note:</t>
  </si>
  <si>
    <t>This is the raw file from ANICO '[RGA IUL Rate Feed 7-23 to 01-25.xlsx]RateFeed' sent by Nick Benoit on 11/21/2024</t>
  </si>
  <si>
    <t>Starting from the 'StartingPt tab of raw data, the following are the edits</t>
  </si>
  <si>
    <t>1)</t>
  </si>
  <si>
    <t>FullProdInd_to_Budget</t>
  </si>
  <si>
    <t>ANICO</t>
  </si>
  <si>
    <t>Replaced HedgeDate from ANICO for 9/2/2024 with 9/3/2024 (since 9/2 was Labor Day)</t>
  </si>
  <si>
    <t>Replaced HedgeDate from ANICO for 1/1/2025 with 1/2/2025 (since 1/1 is  New Years)</t>
  </si>
  <si>
    <t>2)</t>
  </si>
  <si>
    <t>3)</t>
  </si>
  <si>
    <t>Replaced N/A in Spec_Rate, Spread and Asset_Charge w/ 0.0%</t>
  </si>
  <si>
    <t>Replaced N/A with 999.99% for Cap</t>
  </si>
  <si>
    <t>4)</t>
  </si>
  <si>
    <t>Replaced HdgFctr with 1-HdgFctr (aka 3%=&gt;97%, 5%=&gt;95%)</t>
  </si>
  <si>
    <t>5)</t>
  </si>
  <si>
    <t>6)</t>
  </si>
  <si>
    <t>Rounded Budget to 4 digits</t>
  </si>
  <si>
    <t>Steps:</t>
  </si>
  <si>
    <t>Grabbed HedgeDate and HdgFctr columns from 'Edits' tab</t>
  </si>
  <si>
    <t>Removed Duplicates</t>
  </si>
  <si>
    <t>Extended the latest values to the end of the table (based on 'New_HedgeDates_Tbl' tab)</t>
  </si>
  <si>
    <t>Grabbed HedgeDate column from 'Edits' tab (for tie-out purposes only)</t>
  </si>
  <si>
    <t>Started Column 'B' as EndOfPrevMonth, set to 6/30/2023 as StartDate</t>
  </si>
  <si>
    <t>Set Column 'C' to HedgeDate, Calculated via nxlibaddtenor to add the next NY Business day to the end of the month</t>
  </si>
  <si>
    <t>Copied formulas/table for 30-years or 360 months</t>
  </si>
  <si>
    <t>HedgeDate Check</t>
  </si>
  <si>
    <t>BOM_Dt</t>
  </si>
  <si>
    <t>EOM_PrevDt</t>
  </si>
  <si>
    <t>StartDt</t>
  </si>
  <si>
    <t>Replaced HedgeDate from ANICO for 1/1/2024 with 1/2/2024 (since 1/1 is  New Years)</t>
  </si>
  <si>
    <t>Coins</t>
  </si>
  <si>
    <t>Coins_NY</t>
  </si>
  <si>
    <t>HedgeRatio</t>
  </si>
  <si>
    <t>HedgeRatio_NY</t>
  </si>
  <si>
    <t>T</t>
  </si>
  <si>
    <t>Removed HdgFctr from this tab and placed as new tbl in 'New_HdgFctrLU_Tbl' tab</t>
  </si>
  <si>
    <t>Row Labels</t>
  </si>
  <si>
    <t>Grand Total</t>
  </si>
  <si>
    <t>Column Labels</t>
  </si>
  <si>
    <t>Sum of Budget</t>
  </si>
  <si>
    <t>Irin's Old Table</t>
  </si>
  <si>
    <t>FullProdInd_to_Budget.csv</t>
  </si>
  <si>
    <t>ANICO's Table</t>
  </si>
  <si>
    <t>ProductDetailsByHedgeDate.csv</t>
  </si>
  <si>
    <t>Diff</t>
  </si>
  <si>
    <t>Liab_ID</t>
  </si>
  <si>
    <t>CompID</t>
  </si>
  <si>
    <t>Bbg_Idx</t>
  </si>
  <si>
    <t>Fund_Name</t>
  </si>
  <si>
    <t>Opt_Type</t>
  </si>
  <si>
    <t>Strike</t>
  </si>
  <si>
    <t>Cap/Rate</t>
  </si>
  <si>
    <t>Notional</t>
  </si>
  <si>
    <t>HedgeAssetPct</t>
  </si>
  <si>
    <t>NDX Index</t>
  </si>
  <si>
    <t>NASDAQ-100 1 Yr Pt-to-Pt 100 Part w Cap</t>
  </si>
  <si>
    <t>Call Spread</t>
  </si>
  <si>
    <t>SPX Index</t>
  </si>
  <si>
    <t>S&amp;P 500 1 Yr Pt-to-Pt 100 Part w Cap</t>
  </si>
  <si>
    <t>S&amp;P 500 1 Yr Pt-to-Pt 100 Part w Cap &amp; Floor</t>
  </si>
  <si>
    <t>S&amp;P 500 1 Yr Pt-to-Pt Multiplier w Cap</t>
  </si>
  <si>
    <t>S&amp;P 500 1 Yr Pt-to-Pt Uncapped w Fee</t>
  </si>
  <si>
    <t>Call</t>
  </si>
  <si>
    <t>S&amp;P 500 1 Yr Specified Rate</t>
  </si>
  <si>
    <t>Digital</t>
  </si>
  <si>
    <t>SPMARC5P Index</t>
  </si>
  <si>
    <t>S&amp;P MARC 5% 1 Yr Pt-to-Pt Uncapped</t>
  </si>
  <si>
    <t>CapCheck</t>
  </si>
  <si>
    <t>StrikeCheck</t>
  </si>
  <si>
    <t>(GIUL21 &amp; GIUL23)</t>
  </si>
  <si>
    <t>Products</t>
  </si>
  <si>
    <t>Missing Record Here in Liab Summary as this is grouped by Strike,Cap/Rate, Budget &amp; Indicator -- resulting in fewer rows.  Table on right has diff 'Part' which only impacts Adjusted Notional!</t>
  </si>
  <si>
    <t>Missing Record Here in Liab Summary Because no policies present w/ a cap of 9.25% &lt;no Notional, nothing to group here!&gt;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</si>
</sst>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%"/>
    <numFmt numFmtId="166" formatCode="0.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9" fontId="0" fillId="0" borderId="0" xfId="1" applyFont="1" applyAlignment="1" applyProtection="1">
      <alignment horizontal="center"/>
      <protection locked="0"/>
    </xf>
    <xf numFmtId="10" fontId="0" fillId="0" borderId="0" xfId="1" applyNumberFormat="1" applyFont="1" applyProtection="1">
      <protection locked="0"/>
    </xf>
    <xf numFmtId="14" fontId="0" fillId="0" borderId="0" xfId="0" applyNumberFormat="1" applyProtection="1">
      <protection locked="0"/>
    </xf>
    <xf numFmtId="0" fontId="2" fillId="0" borderId="0" xfId="0" applyFont="1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2" borderId="0" xfId="0" applyNumberFormat="1" applyFill="1" applyProtection="1">
      <protection locked="0"/>
    </xf>
    <xf numFmtId="0" fontId="0" fillId="0" borderId="0" xfId="0" quotePrefix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0" fontId="0" fillId="0" borderId="0" xfId="0" applyNumberFormat="1"/>
    <xf numFmtId="0" fontId="3" fillId="3" borderId="0" xfId="0" applyFont="1" applyFill="1" applyProtection="1">
      <protection locked="0"/>
    </xf>
    <xf numFmtId="0" fontId="3" fillId="3" borderId="0" xfId="0" quotePrefix="1" applyFont="1" applyFill="1" applyAlignment="1" applyProtection="1">
      <alignment horizontal="left"/>
      <protection locked="0"/>
    </xf>
    <xf numFmtId="10" fontId="3" fillId="3" borderId="0" xfId="1" applyNumberFormat="1" applyFont="1" applyFill="1" applyAlignment="1" applyProtection="1">
      <alignment horizontal="center"/>
      <protection locked="0"/>
    </xf>
    <xf numFmtId="9" fontId="3" fillId="3" borderId="0" xfId="1" applyFont="1" applyFill="1" applyAlignment="1" applyProtection="1">
      <alignment horizontal="center"/>
      <protection locked="0"/>
    </xf>
    <xf numFmtId="10" fontId="3" fillId="3" borderId="0" xfId="1" applyNumberFormat="1" applyFont="1" applyFill="1" applyProtection="1">
      <protection locked="0"/>
    </xf>
    <xf numFmtId="0" fontId="3" fillId="4" borderId="0" xfId="0" quotePrefix="1" applyFont="1" applyFill="1" applyAlignment="1" applyProtection="1">
      <alignment horizontal="left"/>
      <protection locked="0"/>
    </xf>
    <xf numFmtId="0" fontId="3" fillId="3" borderId="0" xfId="0" applyFont="1" applyFill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10" fontId="3" fillId="3" borderId="0" xfId="1" quotePrefix="1" applyNumberFormat="1" applyFont="1" applyFill="1" applyAlignment="1" applyProtection="1">
      <alignment horizontal="left"/>
      <protection locked="0"/>
    </xf>
    <xf numFmtId="9" fontId="0" fillId="0" borderId="0" xfId="1" applyNumberFormat="1" applyFont="1" applyAlignment="1" applyProtection="1">
      <alignment horizontal="center"/>
      <protection locked="0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5" fontId="0" fillId="0" borderId="0" xfId="0" applyNumberFormat="1" applyAlignment="1">
      <alignment horizontal="center"/>
    </xf>
    <xf numFmtId="0" fontId="3" fillId="0" borderId="0" xfId="0" applyFont="1"/>
    <xf numFmtId="0" fontId="0" fillId="0" borderId="2" xfId="0" applyBorder="1"/>
    <xf numFmtId="0" fontId="0" fillId="0" borderId="5" xfId="0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4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0" fontId="3" fillId="6" borderId="0" xfId="1" applyNumberFormat="1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166" fontId="0" fillId="0" borderId="2" xfId="1" applyNumberFormat="1" applyFont="1" applyBorder="1" applyAlignment="1">
      <alignment horizontal="center"/>
    </xf>
    <xf numFmtId="14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10" fontId="0" fillId="0" borderId="2" xfId="1" applyNumberFormat="1" applyFont="1" applyBorder="1" applyAlignment="1" applyProtection="1">
      <alignment horizontal="center"/>
      <protection locked="0"/>
    </xf>
    <xf numFmtId="9" fontId="0" fillId="0" borderId="2" xfId="1" applyFont="1" applyBorder="1" applyAlignment="1" applyProtection="1">
      <alignment horizontal="center"/>
      <protection locked="0"/>
    </xf>
    <xf numFmtId="10" fontId="0" fillId="0" borderId="3" xfId="0" applyNumberFormat="1" applyBorder="1"/>
    <xf numFmtId="0" fontId="0" fillId="0" borderId="9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0" xfId="0" applyBorder="1"/>
    <xf numFmtId="14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10" fontId="0" fillId="0" borderId="0" xfId="1" applyNumberFormat="1" applyFont="1" applyBorder="1" applyAlignment="1" applyProtection="1">
      <alignment horizontal="center"/>
      <protection locked="0"/>
    </xf>
    <xf numFmtId="9" fontId="0" fillId="0" borderId="0" xfId="1" applyFont="1" applyBorder="1" applyAlignment="1" applyProtection="1">
      <alignment horizontal="center"/>
      <protection locked="0"/>
    </xf>
    <xf numFmtId="10" fontId="0" fillId="0" borderId="10" xfId="0" applyNumberFormat="1" applyBorder="1"/>
    <xf numFmtId="0" fontId="0" fillId="0" borderId="4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5" fontId="0" fillId="0" borderId="5" xfId="1" applyNumberFormat="1" applyFon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6" fontId="0" fillId="0" borderId="5" xfId="1" applyNumberFormat="1" applyFont="1" applyBorder="1" applyAlignment="1">
      <alignment horizontal="center"/>
    </xf>
    <xf numFmtId="14" fontId="0" fillId="0" borderId="5" xfId="0" applyNumberFormat="1" applyBorder="1" applyProtection="1">
      <protection locked="0"/>
    </xf>
    <xf numFmtId="0" fontId="0" fillId="0" borderId="5" xfId="0" applyBorder="1" applyProtection="1">
      <protection locked="0"/>
    </xf>
    <xf numFmtId="10" fontId="0" fillId="0" borderId="5" xfId="1" applyNumberFormat="1" applyFont="1" applyBorder="1" applyAlignment="1" applyProtection="1">
      <alignment horizontal="center"/>
      <protection locked="0"/>
    </xf>
    <xf numFmtId="9" fontId="0" fillId="0" borderId="5" xfId="1" applyFont="1" applyBorder="1" applyAlignment="1" applyProtection="1">
      <alignment horizontal="center"/>
      <protection locked="0"/>
    </xf>
    <xf numFmtId="10" fontId="0" fillId="0" borderId="6" xfId="0" applyNumberFormat="1" applyBorder="1"/>
    <xf numFmtId="0" fontId="0" fillId="7" borderId="2" xfId="0" applyFill="1" applyBorder="1"/>
    <xf numFmtId="0" fontId="0" fillId="7" borderId="0" xfId="0" applyFill="1" applyBorder="1"/>
    <xf numFmtId="0" fontId="0" fillId="7" borderId="5" xfId="0" applyFill="1" applyBorder="1"/>
    <xf numFmtId="14" fontId="0" fillId="4" borderId="0" xfId="0" applyNumberFormat="1" applyFill="1" applyProtection="1">
      <protection locked="0"/>
    </xf>
    <xf numFmtId="0" fontId="0" fillId="4" borderId="0" xfId="0" applyFill="1" applyProtection="1">
      <protection locked="0"/>
    </xf>
    <xf numFmtId="10" fontId="0" fillId="4" borderId="0" xfId="1" applyNumberFormat="1" applyFont="1" applyFill="1" applyAlignment="1" applyProtection="1">
      <alignment horizontal="center"/>
      <protection locked="0"/>
    </xf>
    <xf numFmtId="9" fontId="0" fillId="4" borderId="0" xfId="1" applyFont="1" applyFill="1" applyAlignment="1" applyProtection="1">
      <alignment horizontal="center"/>
      <protection locked="0"/>
    </xf>
    <xf numFmtId="10" fontId="0" fillId="4" borderId="0" xfId="0" applyNumberFormat="1" applyFill="1"/>
    <xf numFmtId="0" fontId="0" fillId="4" borderId="0" xfId="0" applyFill="1"/>
    <xf numFmtId="0" fontId="4" fillId="4" borderId="0" xfId="0" applyFont="1" applyFill="1"/>
    <xf numFmtId="0" fontId="4" fillId="4" borderId="0" xfId="0" quotePrefix="1" applyFont="1" applyFill="1" applyAlignment="1">
      <alignment horizontal="left"/>
    </xf>
  </cellXfs>
  <cellStyles count="2">
    <cellStyle name="Normal" xfId="0" builtinId="0"/>
    <cellStyle name="Percent" xfId="1" builtinId="5"/>
  </cellStyles>
  <dxfs count="18">
    <dxf>
      <numFmt numFmtId="165" formatCode="0.000%"/>
    </dxf>
    <dxf>
      <alignment horizontal="center"/>
    </dxf>
    <dxf>
      <numFmt numFmtId="165" formatCode="0.000%"/>
    </dxf>
    <dxf>
      <alignment horizontal="center"/>
    </dxf>
    <dxf>
      <alignment horizontal="center"/>
    </dxf>
    <dxf>
      <numFmt numFmtId="14" formatCode="0.00%"/>
    </dxf>
    <dxf>
      <numFmt numFmtId="165" formatCode="0.000%"/>
    </dxf>
    <dxf>
      <numFmt numFmtId="14" formatCode="0.00%"/>
    </dxf>
    <dxf>
      <numFmt numFmtId="164" formatCode="0.0%"/>
    </dxf>
    <dxf>
      <numFmt numFmtId="164" formatCode="0.0%"/>
    </dxf>
    <dxf>
      <numFmt numFmtId="13" formatCode="0%"/>
    </dxf>
    <dxf>
      <numFmt numFmtId="13" formatCode="0%"/>
    </dxf>
    <dxf>
      <numFmt numFmtId="13" formatCode="0%"/>
    </dxf>
    <dxf>
      <alignment horizontal="center"/>
    </dxf>
    <dxf>
      <numFmt numFmtId="165" formatCode="0.000%"/>
    </dxf>
    <dxf>
      <numFmt numFmtId="165" formatCode="0.000%"/>
    </dxf>
    <dxf>
      <alignment horizontal="center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FullProdInd_to_Budget.csv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nerfield, Irin" refreshedDate="45618.695296180558" createdVersion="8" refreshedVersion="8" minRefreshableVersion="3" recordCount="731" xr:uid="{F3A59BDD-12DB-4183-A7A3-E8D2EB447938}">
  <cacheSource type="worksheet">
    <worksheetSource ref="A1:D732" sheet="ProductDetailsByHedgeDate"/>
  </cacheSource>
  <cacheFields count="7">
    <cacheField name="HedgeDate" numFmtId="14">
      <sharedItems containsSemiMixedTypes="0" containsNonDate="0" containsDate="1" containsString="0" minDate="2023-07-03T00:00:00" maxDate="2025-01-03T00:00:00" count="19">
        <d v="2023-07-03T00:00:00"/>
        <d v="2023-08-01T00:00:00"/>
        <d v="2023-09-01T00:00:00"/>
        <d v="2023-10-02T00:00:00"/>
        <d v="2023-11-01T00:00:00"/>
        <d v="2023-12-01T00:00:00"/>
        <d v="2024-01-02T00:00:00"/>
        <d v="2024-02-01T00:00:00"/>
        <d v="2024-03-01T00:00:00"/>
        <d v="2024-04-01T00:00:00"/>
        <d v="2024-05-01T00:00:00"/>
        <d v="2024-06-03T00:00:00"/>
        <d v="2024-07-01T00:00:00"/>
        <d v="2024-08-01T00:00:00"/>
        <d v="2024-09-03T00:00:00"/>
        <d v="2024-10-01T00:00:00"/>
        <d v="2024-11-01T00:00:00"/>
        <d v="2024-12-02T00:00:00"/>
        <d v="2025-01-02T00:00:00"/>
      </sharedItems>
      <fieldGroup par="6"/>
    </cacheField>
    <cacheField name="Product_Detail" numFmtId="0">
      <sharedItems count="10">
        <s v="IUL08"/>
        <s v="IUL14"/>
        <s v="IUL14B"/>
        <s v="IUL19"/>
        <s v="IUL21"/>
        <s v="IUL23"/>
        <s v="GIUL21"/>
        <s v="IUL14NY"/>
        <s v="IUL14BNY"/>
        <s v="GIUL23"/>
      </sharedItems>
    </cacheField>
    <cacheField name="Indicator" numFmtId="0">
      <sharedItems count="8">
        <s v="INDEX"/>
        <s v="INX150"/>
        <s v="INXFEE"/>
        <s v="INXSPC"/>
        <s v="INXHIM"/>
        <s v="INXLOM"/>
        <s v="MARPRT"/>
        <s v="NASIDX"/>
      </sharedItems>
    </cacheField>
    <cacheField name="Budget" numFmtId="10">
      <sharedItems containsSemiMixedTypes="0" containsString="0" containsNumber="1" minValue="0" maxValue="6.3399999999999998E-2"/>
    </cacheField>
    <cacheField name="Months (HedgeDate)" numFmtId="0" databaseField="0">
      <fieldGroup base="0">
        <rangePr groupBy="months" startDate="2023-07-03T00:00:00" endDate="2025-01-03T00:00:00"/>
        <groupItems count="14">
          <s v="&lt;7/3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3/2025"/>
        </groupItems>
      </fieldGroup>
    </cacheField>
    <cacheField name="Quarters (HedgeDate)" numFmtId="0" databaseField="0">
      <fieldGroup base="0">
        <rangePr groupBy="quarters" startDate="2023-07-03T00:00:00" endDate="2025-01-03T00:00:00"/>
        <groupItems count="6">
          <s v="&lt;7/3/2023"/>
          <s v="Qtr1"/>
          <s v="Qtr2"/>
          <s v="Qtr3"/>
          <s v="Qtr4"/>
          <s v="&gt;1/3/2025"/>
        </groupItems>
      </fieldGroup>
    </cacheField>
    <cacheField name="Years (HedgeDate)" numFmtId="0" databaseField="0">
      <fieldGroup base="0">
        <rangePr groupBy="years" startDate="2023-07-03T00:00:00" endDate="2025-01-03T00:00:00"/>
        <groupItems count="5">
          <s v="&lt;7/3/2023"/>
          <s v="2023"/>
          <s v="2024"/>
          <s v="2025"/>
          <s v="&gt;1/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nerfield, Irin" refreshedDate="45618.696709606484" createdVersion="8" refreshedVersion="8" minRefreshableVersion="3" recordCount="534" xr:uid="{B9812D65-3F64-4F0D-8075-70D6E2567FE7}">
  <cacheSource type="worksheet">
    <worksheetSource ref="A1:D535" sheet="FullProdInd_to_Budget" r:id="rId2"/>
  </cacheSource>
  <cacheFields count="7">
    <cacheField name="HedgeDate" numFmtId="14">
      <sharedItems containsSemiMixedTypes="0" containsNonDate="0" containsDate="1" containsString="0" minDate="2023-10-02T00:00:00" maxDate="2024-11-02T00:00:00" count="14">
        <d v="2023-10-02T00:00:00"/>
        <d v="2023-11-01T00:00:00"/>
        <d v="2023-12-01T00:00:00"/>
        <d v="2024-01-02T00:00:00"/>
        <d v="2024-02-01T00:00:00"/>
        <d v="2024-03-01T00:00:00"/>
        <d v="2024-04-01T00:00:00"/>
        <d v="2024-05-01T00:00:00"/>
        <d v="2024-06-03T00:00:00"/>
        <d v="2024-07-01T00:00:00"/>
        <d v="2024-08-01T00:00:00"/>
        <d v="2024-09-03T00:00:00"/>
        <d v="2024-10-01T00:00:00"/>
        <d v="2024-11-01T00:00:00"/>
      </sharedItems>
      <fieldGroup par="6"/>
    </cacheField>
    <cacheField name="Product_Detail" numFmtId="0">
      <sharedItems count="10">
        <s v="GIUL21"/>
        <s v="IUL08"/>
        <s v="IUL14"/>
        <s v="IUL14B"/>
        <s v="IUL14BNY"/>
        <s v="IUL14NY"/>
        <s v="IUL19"/>
        <s v="IUL21"/>
        <s v="IUL23"/>
        <s v="GIUL23"/>
      </sharedItems>
    </cacheField>
    <cacheField name="Indicator" numFmtId="0">
      <sharedItems count="8">
        <s v="INDEX"/>
        <s v="INXFEE"/>
        <s v="MARPRT"/>
        <s v="NASIDX"/>
        <s v="INX150"/>
        <s v="INXSPC"/>
        <s v="INXHIM"/>
        <s v="INXLOM"/>
      </sharedItems>
    </cacheField>
    <cacheField name="Budget" numFmtId="0">
      <sharedItems containsSemiMixedTypes="0" containsString="0" containsNumber="1" minValue="2.2200000000000001E-2" maxValue="6.3399999999999998E-2"/>
    </cacheField>
    <cacheField name="Months (HedgeDate)" numFmtId="0" databaseField="0">
      <fieldGroup base="0">
        <rangePr groupBy="months" startDate="2023-10-02T00:00:00" endDate="2024-11-02T00:00:00"/>
        <groupItems count="14">
          <s v="&lt;10/2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2/2024"/>
        </groupItems>
      </fieldGroup>
    </cacheField>
    <cacheField name="Quarters (HedgeDate)" numFmtId="0" databaseField="0">
      <fieldGroup base="0">
        <rangePr groupBy="quarters" startDate="2023-10-02T00:00:00" endDate="2024-11-02T00:00:00"/>
        <groupItems count="6">
          <s v="&lt;10/2/2023"/>
          <s v="Qtr1"/>
          <s v="Qtr2"/>
          <s v="Qtr3"/>
          <s v="Qtr4"/>
          <s v="&gt;11/2/2024"/>
        </groupItems>
      </fieldGroup>
    </cacheField>
    <cacheField name="Years (HedgeDate)" numFmtId="0" databaseField="0">
      <fieldGroup base="0">
        <rangePr groupBy="years" startDate="2023-10-02T00:00:00" endDate="2024-11-02T00:00:00"/>
        <groupItems count="4">
          <s v="&lt;10/2/2023"/>
          <s v="2023"/>
          <s v="2024"/>
          <s v="&gt;11/2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1">
  <r>
    <x v="0"/>
    <x v="0"/>
    <x v="0"/>
    <n v="5.4800000000000001E-2"/>
  </r>
  <r>
    <x v="0"/>
    <x v="1"/>
    <x v="0"/>
    <n v="5.4800000000000001E-2"/>
  </r>
  <r>
    <x v="0"/>
    <x v="1"/>
    <x v="1"/>
    <n v="3.85E-2"/>
  </r>
  <r>
    <x v="0"/>
    <x v="1"/>
    <x v="2"/>
    <n v="3.0499999999999999E-2"/>
  </r>
  <r>
    <x v="0"/>
    <x v="1"/>
    <x v="3"/>
    <n v="5.3499999999999999E-2"/>
  </r>
  <r>
    <x v="0"/>
    <x v="2"/>
    <x v="0"/>
    <n v="4.3499999999999997E-2"/>
  </r>
  <r>
    <x v="0"/>
    <x v="2"/>
    <x v="1"/>
    <n v="2.63E-2"/>
  </r>
  <r>
    <x v="0"/>
    <x v="2"/>
    <x v="2"/>
    <n v="2.6700000000000002E-2"/>
  </r>
  <r>
    <x v="0"/>
    <x v="2"/>
    <x v="3"/>
    <n v="4.2799999999999998E-2"/>
  </r>
  <r>
    <x v="0"/>
    <x v="3"/>
    <x v="0"/>
    <n v="5.4800000000000001E-2"/>
  </r>
  <r>
    <x v="0"/>
    <x v="3"/>
    <x v="2"/>
    <n v="3.0499999999999999E-2"/>
  </r>
  <r>
    <x v="0"/>
    <x v="3"/>
    <x v="4"/>
    <n v="6.2E-2"/>
  </r>
  <r>
    <x v="0"/>
    <x v="3"/>
    <x v="5"/>
    <n v="6.2E-2"/>
  </r>
  <r>
    <x v="0"/>
    <x v="4"/>
    <x v="6"/>
    <n v="2.4299999999999999E-2"/>
  </r>
  <r>
    <x v="0"/>
    <x v="4"/>
    <x v="7"/>
    <n v="5.5399999999999998E-2"/>
  </r>
  <r>
    <x v="0"/>
    <x v="4"/>
    <x v="0"/>
    <n v="5.67E-2"/>
  </r>
  <r>
    <x v="0"/>
    <x v="4"/>
    <x v="2"/>
    <n v="3.0499999999999999E-2"/>
  </r>
  <r>
    <x v="0"/>
    <x v="4"/>
    <x v="4"/>
    <n v="6.2E-2"/>
  </r>
  <r>
    <x v="0"/>
    <x v="4"/>
    <x v="5"/>
    <n v="6.2E-2"/>
  </r>
  <r>
    <x v="0"/>
    <x v="5"/>
    <x v="6"/>
    <n v="2.4299999999999999E-2"/>
  </r>
  <r>
    <x v="0"/>
    <x v="5"/>
    <x v="7"/>
    <n v="5.4399999999999997E-2"/>
  </r>
  <r>
    <x v="0"/>
    <x v="5"/>
    <x v="0"/>
    <n v="5.5800000000000002E-2"/>
  </r>
  <r>
    <x v="0"/>
    <x v="5"/>
    <x v="2"/>
    <n v="3.0499999999999999E-2"/>
  </r>
  <r>
    <x v="0"/>
    <x v="5"/>
    <x v="4"/>
    <n v="6.2E-2"/>
  </r>
  <r>
    <x v="0"/>
    <x v="5"/>
    <x v="5"/>
    <n v="6.2E-2"/>
  </r>
  <r>
    <x v="0"/>
    <x v="6"/>
    <x v="0"/>
    <n v="5.2699999999999997E-2"/>
  </r>
  <r>
    <x v="0"/>
    <x v="6"/>
    <x v="2"/>
    <n v="2.6700000000000002E-2"/>
  </r>
  <r>
    <x v="0"/>
    <x v="6"/>
    <x v="6"/>
    <n v="2.2200000000000001E-2"/>
  </r>
  <r>
    <x v="0"/>
    <x v="6"/>
    <x v="7"/>
    <n v="5.11E-2"/>
  </r>
  <r>
    <x v="0"/>
    <x v="7"/>
    <x v="0"/>
    <n v="4.8300000000000003E-2"/>
  </r>
  <r>
    <x v="0"/>
    <x v="7"/>
    <x v="1"/>
    <n v="2.8799999999999999E-2"/>
  </r>
  <r>
    <x v="0"/>
    <x v="7"/>
    <x v="2"/>
    <n v="4.0500000000000001E-2"/>
  </r>
  <r>
    <x v="0"/>
    <x v="7"/>
    <x v="3"/>
    <n v="4.9599999999999998E-2"/>
  </r>
  <r>
    <x v="0"/>
    <x v="8"/>
    <x v="0"/>
    <n v="4.3499999999999997E-2"/>
  </r>
  <r>
    <x v="0"/>
    <x v="8"/>
    <x v="1"/>
    <n v="2.0899999999999998E-2"/>
  </r>
  <r>
    <x v="0"/>
    <x v="8"/>
    <x v="2"/>
    <n v="3.5400000000000001E-2"/>
  </r>
  <r>
    <x v="0"/>
    <x v="8"/>
    <x v="3"/>
    <n v="4.2500000000000003E-2"/>
  </r>
  <r>
    <x v="1"/>
    <x v="0"/>
    <x v="0"/>
    <n v="5.5599999999999997E-2"/>
  </r>
  <r>
    <x v="1"/>
    <x v="1"/>
    <x v="0"/>
    <n v="5.5599999999999997E-2"/>
  </r>
  <r>
    <x v="1"/>
    <x v="1"/>
    <x v="1"/>
    <n v="3.9100000000000003E-2"/>
  </r>
  <r>
    <x v="1"/>
    <x v="1"/>
    <x v="2"/>
    <n v="3.61E-2"/>
  </r>
  <r>
    <x v="1"/>
    <x v="1"/>
    <x v="3"/>
    <n v="5.4600000000000003E-2"/>
  </r>
  <r>
    <x v="1"/>
    <x v="2"/>
    <x v="0"/>
    <n v="4.4400000000000002E-2"/>
  </r>
  <r>
    <x v="1"/>
    <x v="2"/>
    <x v="1"/>
    <n v="2.6800000000000001E-2"/>
  </r>
  <r>
    <x v="1"/>
    <x v="2"/>
    <x v="2"/>
    <n v="2.3599999999999999E-2"/>
  </r>
  <r>
    <x v="1"/>
    <x v="2"/>
    <x v="3"/>
    <n v="4.3700000000000003E-2"/>
  </r>
  <r>
    <x v="1"/>
    <x v="3"/>
    <x v="0"/>
    <n v="5.5599999999999997E-2"/>
  </r>
  <r>
    <x v="1"/>
    <x v="3"/>
    <x v="2"/>
    <n v="3.61E-2"/>
  </r>
  <r>
    <x v="1"/>
    <x v="3"/>
    <x v="4"/>
    <n v="6.2600000000000003E-2"/>
  </r>
  <r>
    <x v="1"/>
    <x v="3"/>
    <x v="5"/>
    <n v="6.2600000000000003E-2"/>
  </r>
  <r>
    <x v="1"/>
    <x v="4"/>
    <x v="6"/>
    <n v="2.4299999999999999E-2"/>
  </r>
  <r>
    <x v="1"/>
    <x v="4"/>
    <x v="7"/>
    <n v="5.4699999999999999E-2"/>
  </r>
  <r>
    <x v="1"/>
    <x v="4"/>
    <x v="0"/>
    <n v="5.7500000000000002E-2"/>
  </r>
  <r>
    <x v="1"/>
    <x v="4"/>
    <x v="2"/>
    <n v="3.61E-2"/>
  </r>
  <r>
    <x v="1"/>
    <x v="4"/>
    <x v="4"/>
    <n v="6.2600000000000003E-2"/>
  </r>
  <r>
    <x v="1"/>
    <x v="4"/>
    <x v="5"/>
    <n v="6.2600000000000003E-2"/>
  </r>
  <r>
    <x v="1"/>
    <x v="5"/>
    <x v="6"/>
    <n v="2.4199999999999999E-2"/>
  </r>
  <r>
    <x v="1"/>
    <x v="5"/>
    <x v="7"/>
    <n v="5.3699999999999998E-2"/>
  </r>
  <r>
    <x v="1"/>
    <x v="5"/>
    <x v="0"/>
    <n v="5.6599999999999998E-2"/>
  </r>
  <r>
    <x v="1"/>
    <x v="5"/>
    <x v="2"/>
    <n v="3.61E-2"/>
  </r>
  <r>
    <x v="1"/>
    <x v="5"/>
    <x v="4"/>
    <n v="6.2600000000000003E-2"/>
  </r>
  <r>
    <x v="1"/>
    <x v="5"/>
    <x v="5"/>
    <n v="6.2600000000000003E-2"/>
  </r>
  <r>
    <x v="1"/>
    <x v="6"/>
    <x v="0"/>
    <n v="5.3499999999999999E-2"/>
  </r>
  <r>
    <x v="1"/>
    <x v="6"/>
    <x v="2"/>
    <n v="3.15E-2"/>
  </r>
  <r>
    <x v="1"/>
    <x v="6"/>
    <x v="6"/>
    <n v="2.2100000000000002E-2"/>
  </r>
  <r>
    <x v="1"/>
    <x v="6"/>
    <x v="7"/>
    <n v="5.0500000000000003E-2"/>
  </r>
  <r>
    <x v="1"/>
    <x v="7"/>
    <x v="0"/>
    <n v="4.9099999999999998E-2"/>
  </r>
  <r>
    <x v="1"/>
    <x v="7"/>
    <x v="1"/>
    <n v="2.9399999999999999E-2"/>
  </r>
  <r>
    <x v="1"/>
    <x v="7"/>
    <x v="2"/>
    <n v="3.73E-2"/>
  </r>
  <r>
    <x v="1"/>
    <x v="7"/>
    <x v="3"/>
    <n v="5.0599999999999999E-2"/>
  </r>
  <r>
    <x v="1"/>
    <x v="8"/>
    <x v="0"/>
    <n v="4.4400000000000002E-2"/>
  </r>
  <r>
    <x v="1"/>
    <x v="8"/>
    <x v="1"/>
    <n v="2.1299999999999999E-2"/>
  </r>
  <r>
    <x v="1"/>
    <x v="8"/>
    <x v="2"/>
    <n v="3.2199999999999999E-2"/>
  </r>
  <r>
    <x v="1"/>
    <x v="8"/>
    <x v="3"/>
    <n v="4.3299999999999998E-2"/>
  </r>
  <r>
    <x v="2"/>
    <x v="0"/>
    <x v="0"/>
    <n v="5.4399999999999997E-2"/>
  </r>
  <r>
    <x v="2"/>
    <x v="1"/>
    <x v="0"/>
    <n v="5.4399999999999997E-2"/>
  </r>
  <r>
    <x v="2"/>
    <x v="1"/>
    <x v="1"/>
    <n v="3.9E-2"/>
  </r>
  <r>
    <x v="2"/>
    <x v="1"/>
    <x v="2"/>
    <n v="4.5100000000000001E-2"/>
  </r>
  <r>
    <x v="2"/>
    <x v="1"/>
    <x v="3"/>
    <n v="5.3100000000000001E-2"/>
  </r>
  <r>
    <x v="2"/>
    <x v="2"/>
    <x v="0"/>
    <n v="4.2500000000000003E-2"/>
  </r>
  <r>
    <x v="2"/>
    <x v="2"/>
    <x v="1"/>
    <n v="2.64E-2"/>
  </r>
  <r>
    <x v="2"/>
    <x v="2"/>
    <x v="2"/>
    <n v="3.1800000000000002E-2"/>
  </r>
  <r>
    <x v="2"/>
    <x v="2"/>
    <x v="3"/>
    <n v="4.2500000000000003E-2"/>
  </r>
  <r>
    <x v="2"/>
    <x v="3"/>
    <x v="0"/>
    <n v="5.4399999999999997E-2"/>
  </r>
  <r>
    <x v="2"/>
    <x v="3"/>
    <x v="2"/>
    <n v="4.5100000000000001E-2"/>
  </r>
  <r>
    <x v="2"/>
    <x v="3"/>
    <x v="4"/>
    <n v="6.3399999999999998E-2"/>
  </r>
  <r>
    <x v="2"/>
    <x v="3"/>
    <x v="5"/>
    <n v="6.3399999999999998E-2"/>
  </r>
  <r>
    <x v="2"/>
    <x v="4"/>
    <x v="6"/>
    <n v="2.2200000000000001E-2"/>
  </r>
  <r>
    <x v="2"/>
    <x v="4"/>
    <x v="7"/>
    <n v="5.4100000000000002E-2"/>
  </r>
  <r>
    <x v="2"/>
    <x v="4"/>
    <x v="0"/>
    <n v="5.6500000000000002E-2"/>
  </r>
  <r>
    <x v="2"/>
    <x v="4"/>
    <x v="2"/>
    <n v="4.5100000000000001E-2"/>
  </r>
  <r>
    <x v="2"/>
    <x v="4"/>
    <x v="4"/>
    <n v="6.3399999999999998E-2"/>
  </r>
  <r>
    <x v="2"/>
    <x v="4"/>
    <x v="5"/>
    <n v="6.3399999999999998E-2"/>
  </r>
  <r>
    <x v="2"/>
    <x v="5"/>
    <x v="6"/>
    <n v="2.2200000000000001E-2"/>
  </r>
  <r>
    <x v="2"/>
    <x v="5"/>
    <x v="7"/>
    <n v="5.3100000000000001E-2"/>
  </r>
  <r>
    <x v="2"/>
    <x v="5"/>
    <x v="0"/>
    <n v="5.5500000000000001E-2"/>
  </r>
  <r>
    <x v="2"/>
    <x v="5"/>
    <x v="2"/>
    <n v="4.5100000000000001E-2"/>
  </r>
  <r>
    <x v="2"/>
    <x v="5"/>
    <x v="4"/>
    <n v="6.3399999999999998E-2"/>
  </r>
  <r>
    <x v="2"/>
    <x v="5"/>
    <x v="5"/>
    <n v="6.3399999999999998E-2"/>
  </r>
  <r>
    <x v="2"/>
    <x v="6"/>
    <x v="0"/>
    <n v="5.21E-2"/>
  </r>
  <r>
    <x v="2"/>
    <x v="6"/>
    <x v="2"/>
    <n v="4.0300000000000002E-2"/>
  </r>
  <r>
    <x v="2"/>
    <x v="6"/>
    <x v="6"/>
    <n v="2.2200000000000001E-2"/>
  </r>
  <r>
    <x v="2"/>
    <x v="6"/>
    <x v="7"/>
    <n v="4.9700000000000001E-2"/>
  </r>
  <r>
    <x v="2"/>
    <x v="7"/>
    <x v="0"/>
    <n v="4.8599999999999997E-2"/>
  </r>
  <r>
    <x v="2"/>
    <x v="7"/>
    <x v="1"/>
    <n v="3.1600000000000003E-2"/>
  </r>
  <r>
    <x v="2"/>
    <x v="7"/>
    <x v="2"/>
    <n v="4.6300000000000001E-2"/>
  </r>
  <r>
    <x v="2"/>
    <x v="7"/>
    <x v="3"/>
    <n v="4.5999999999999999E-2"/>
  </r>
  <r>
    <x v="2"/>
    <x v="8"/>
    <x v="0"/>
    <n v="4.4999999999999998E-2"/>
  </r>
  <r>
    <x v="2"/>
    <x v="8"/>
    <x v="1"/>
    <n v="2.5000000000000001E-2"/>
  </r>
  <r>
    <x v="2"/>
    <x v="8"/>
    <x v="2"/>
    <n v="4.1700000000000001E-2"/>
  </r>
  <r>
    <x v="2"/>
    <x v="8"/>
    <x v="3"/>
    <n v="4.0399999999999998E-2"/>
  </r>
  <r>
    <x v="3"/>
    <x v="0"/>
    <x v="0"/>
    <n v="5.4100000000000002E-2"/>
  </r>
  <r>
    <x v="3"/>
    <x v="1"/>
    <x v="0"/>
    <n v="5.4100000000000002E-2"/>
  </r>
  <r>
    <x v="3"/>
    <x v="1"/>
    <x v="1"/>
    <n v="3.8800000000000001E-2"/>
  </r>
  <r>
    <x v="3"/>
    <x v="1"/>
    <x v="2"/>
    <n v="4.0899999999999999E-2"/>
  </r>
  <r>
    <x v="3"/>
    <x v="1"/>
    <x v="3"/>
    <n v="5.4100000000000002E-2"/>
  </r>
  <r>
    <x v="3"/>
    <x v="2"/>
    <x v="0"/>
    <n v="4.2500000000000003E-2"/>
  </r>
  <r>
    <x v="3"/>
    <x v="2"/>
    <x v="1"/>
    <n v="2.63E-2"/>
  </r>
  <r>
    <x v="3"/>
    <x v="2"/>
    <x v="2"/>
    <n v="3.6200000000000003E-2"/>
  </r>
  <r>
    <x v="3"/>
    <x v="2"/>
    <x v="3"/>
    <n v="4.3299999999999998E-2"/>
  </r>
  <r>
    <x v="3"/>
    <x v="3"/>
    <x v="0"/>
    <n v="5.4100000000000002E-2"/>
  </r>
  <r>
    <x v="3"/>
    <x v="3"/>
    <x v="2"/>
    <n v="4.0899999999999999E-2"/>
  </r>
  <r>
    <x v="3"/>
    <x v="3"/>
    <x v="4"/>
    <n v="6.2600000000000003E-2"/>
  </r>
  <r>
    <x v="3"/>
    <x v="3"/>
    <x v="5"/>
    <n v="6.2600000000000003E-2"/>
  </r>
  <r>
    <x v="3"/>
    <x v="4"/>
    <x v="6"/>
    <n v="2.23E-2"/>
  </r>
  <r>
    <x v="3"/>
    <x v="4"/>
    <x v="7"/>
    <n v="5.3800000000000001E-2"/>
  </r>
  <r>
    <x v="3"/>
    <x v="4"/>
    <x v="0"/>
    <n v="5.6099999999999997E-2"/>
  </r>
  <r>
    <x v="3"/>
    <x v="4"/>
    <x v="2"/>
    <n v="4.0899999999999999E-2"/>
  </r>
  <r>
    <x v="3"/>
    <x v="4"/>
    <x v="4"/>
    <n v="6.2600000000000003E-2"/>
  </r>
  <r>
    <x v="3"/>
    <x v="4"/>
    <x v="5"/>
    <n v="6.2600000000000003E-2"/>
  </r>
  <r>
    <x v="3"/>
    <x v="5"/>
    <x v="6"/>
    <n v="2.23E-2"/>
  </r>
  <r>
    <x v="3"/>
    <x v="5"/>
    <x v="7"/>
    <n v="5.28E-2"/>
  </r>
  <r>
    <x v="3"/>
    <x v="5"/>
    <x v="0"/>
    <n v="5.5100000000000003E-2"/>
  </r>
  <r>
    <x v="3"/>
    <x v="5"/>
    <x v="2"/>
    <n v="4.0899999999999999E-2"/>
  </r>
  <r>
    <x v="3"/>
    <x v="5"/>
    <x v="4"/>
    <n v="6.2600000000000003E-2"/>
  </r>
  <r>
    <x v="3"/>
    <x v="5"/>
    <x v="5"/>
    <n v="6.2600000000000003E-2"/>
  </r>
  <r>
    <x v="3"/>
    <x v="6"/>
    <x v="0"/>
    <n v="5.1900000000000002E-2"/>
  </r>
  <r>
    <x v="3"/>
    <x v="6"/>
    <x v="2"/>
    <n v="3.6200000000000003E-2"/>
  </r>
  <r>
    <x v="3"/>
    <x v="6"/>
    <x v="6"/>
    <n v="2.23E-2"/>
  </r>
  <r>
    <x v="3"/>
    <x v="6"/>
    <x v="7"/>
    <n v="4.9500000000000002E-2"/>
  </r>
  <r>
    <x v="3"/>
    <x v="7"/>
    <x v="0"/>
    <n v="4.8500000000000001E-2"/>
  </r>
  <r>
    <x v="3"/>
    <x v="7"/>
    <x v="1"/>
    <n v="3.15E-2"/>
  </r>
  <r>
    <x v="3"/>
    <x v="7"/>
    <x v="2"/>
    <n v="4.2099999999999999E-2"/>
  </r>
  <r>
    <x v="3"/>
    <x v="7"/>
    <x v="3"/>
    <n v="4.6899999999999997E-2"/>
  </r>
  <r>
    <x v="3"/>
    <x v="8"/>
    <x v="0"/>
    <n v="4.4900000000000002E-2"/>
  </r>
  <r>
    <x v="3"/>
    <x v="8"/>
    <x v="1"/>
    <n v="2.5000000000000001E-2"/>
  </r>
  <r>
    <x v="3"/>
    <x v="8"/>
    <x v="2"/>
    <n v="3.7600000000000001E-2"/>
  </r>
  <r>
    <x v="3"/>
    <x v="8"/>
    <x v="3"/>
    <n v="4.1099999999999998E-2"/>
  </r>
  <r>
    <x v="4"/>
    <x v="0"/>
    <x v="0"/>
    <n v="5.3900000000000003E-2"/>
  </r>
  <r>
    <x v="4"/>
    <x v="1"/>
    <x v="0"/>
    <n v="5.3900000000000003E-2"/>
  </r>
  <r>
    <x v="4"/>
    <x v="1"/>
    <x v="1"/>
    <n v="3.8600000000000002E-2"/>
  </r>
  <r>
    <x v="4"/>
    <x v="1"/>
    <x v="2"/>
    <n v="4.6300000000000001E-2"/>
  </r>
  <r>
    <x v="4"/>
    <x v="1"/>
    <x v="3"/>
    <n v="5.2900000000000003E-2"/>
  </r>
  <r>
    <x v="4"/>
    <x v="2"/>
    <x v="0"/>
    <n v="4.2099999999999999E-2"/>
  </r>
  <r>
    <x v="4"/>
    <x v="2"/>
    <x v="1"/>
    <n v="2.6100000000000002E-2"/>
  </r>
  <r>
    <x v="4"/>
    <x v="2"/>
    <x v="2"/>
    <n v="4.1599999999999998E-2"/>
  </r>
  <r>
    <x v="4"/>
    <x v="2"/>
    <x v="3"/>
    <n v="4.2299999999999997E-2"/>
  </r>
  <r>
    <x v="4"/>
    <x v="3"/>
    <x v="0"/>
    <n v="5.3900000000000003E-2"/>
  </r>
  <r>
    <x v="4"/>
    <x v="3"/>
    <x v="2"/>
    <n v="4.6300000000000001E-2"/>
  </r>
  <r>
    <x v="4"/>
    <x v="3"/>
    <x v="4"/>
    <n v="6.3E-2"/>
  </r>
  <r>
    <x v="4"/>
    <x v="3"/>
    <x v="5"/>
    <n v="6.3E-2"/>
  </r>
  <r>
    <x v="4"/>
    <x v="4"/>
    <x v="6"/>
    <n v="2.2200000000000001E-2"/>
  </r>
  <r>
    <x v="4"/>
    <x v="4"/>
    <x v="7"/>
    <n v="5.4100000000000002E-2"/>
  </r>
  <r>
    <x v="4"/>
    <x v="4"/>
    <x v="0"/>
    <n v="5.6099999999999997E-2"/>
  </r>
  <r>
    <x v="4"/>
    <x v="4"/>
    <x v="2"/>
    <n v="4.6300000000000001E-2"/>
  </r>
  <r>
    <x v="4"/>
    <x v="4"/>
    <x v="4"/>
    <n v="6.3E-2"/>
  </r>
  <r>
    <x v="4"/>
    <x v="4"/>
    <x v="5"/>
    <n v="6.3E-2"/>
  </r>
  <r>
    <x v="4"/>
    <x v="5"/>
    <x v="6"/>
    <n v="2.2200000000000001E-2"/>
  </r>
  <r>
    <x v="4"/>
    <x v="5"/>
    <x v="7"/>
    <n v="5.2999999999999999E-2"/>
  </r>
  <r>
    <x v="4"/>
    <x v="5"/>
    <x v="0"/>
    <n v="5.5E-2"/>
  </r>
  <r>
    <x v="4"/>
    <x v="5"/>
    <x v="2"/>
    <n v="4.6300000000000001E-2"/>
  </r>
  <r>
    <x v="4"/>
    <x v="5"/>
    <x v="4"/>
    <n v="6.3E-2"/>
  </r>
  <r>
    <x v="4"/>
    <x v="5"/>
    <x v="5"/>
    <n v="6.3E-2"/>
  </r>
  <r>
    <x v="4"/>
    <x v="6"/>
    <x v="0"/>
    <n v="5.1700000000000003E-2"/>
  </r>
  <r>
    <x v="4"/>
    <x v="6"/>
    <x v="2"/>
    <n v="4.1599999999999998E-2"/>
  </r>
  <r>
    <x v="4"/>
    <x v="6"/>
    <x v="6"/>
    <n v="2.2200000000000001E-2"/>
  </r>
  <r>
    <x v="4"/>
    <x v="6"/>
    <x v="7"/>
    <n v="4.9599999999999998E-2"/>
  </r>
  <r>
    <x v="4"/>
    <x v="7"/>
    <x v="0"/>
    <n v="4.82E-2"/>
  </r>
  <r>
    <x v="4"/>
    <x v="7"/>
    <x v="1"/>
    <n v="3.1300000000000001E-2"/>
  </r>
  <r>
    <x v="4"/>
    <x v="7"/>
    <x v="2"/>
    <n v="4.7600000000000003E-2"/>
  </r>
  <r>
    <x v="4"/>
    <x v="7"/>
    <x v="3"/>
    <n v="4.5900000000000003E-2"/>
  </r>
  <r>
    <x v="4"/>
    <x v="8"/>
    <x v="0"/>
    <n v="4.4600000000000001E-2"/>
  </r>
  <r>
    <x v="4"/>
    <x v="8"/>
    <x v="1"/>
    <n v="2.47E-2"/>
  </r>
  <r>
    <x v="4"/>
    <x v="8"/>
    <x v="2"/>
    <n v="4.2999999999999997E-2"/>
  </r>
  <r>
    <x v="4"/>
    <x v="8"/>
    <x v="3"/>
    <n v="4.02E-2"/>
  </r>
  <r>
    <x v="5"/>
    <x v="0"/>
    <x v="0"/>
    <n v="5.33E-2"/>
  </r>
  <r>
    <x v="5"/>
    <x v="1"/>
    <x v="0"/>
    <n v="5.33E-2"/>
  </r>
  <r>
    <x v="5"/>
    <x v="1"/>
    <x v="1"/>
    <n v="3.8199999999999998E-2"/>
  </r>
  <r>
    <x v="5"/>
    <x v="1"/>
    <x v="2"/>
    <n v="4.1799999999999997E-2"/>
  </r>
  <r>
    <x v="5"/>
    <x v="1"/>
    <x v="3"/>
    <n v="5.3699999999999998E-2"/>
  </r>
  <r>
    <x v="5"/>
    <x v="2"/>
    <x v="0"/>
    <n v="4.1799999999999997E-2"/>
  </r>
  <r>
    <x v="5"/>
    <x v="2"/>
    <x v="1"/>
    <n v="2.5899999999999999E-2"/>
  </r>
  <r>
    <x v="5"/>
    <x v="2"/>
    <x v="2"/>
    <n v="3.7199999999999997E-2"/>
  </r>
  <r>
    <x v="5"/>
    <x v="2"/>
    <x v="3"/>
    <n v="4.2900000000000001E-2"/>
  </r>
  <r>
    <x v="5"/>
    <x v="3"/>
    <x v="0"/>
    <n v="5.33E-2"/>
  </r>
  <r>
    <x v="5"/>
    <x v="3"/>
    <x v="2"/>
    <n v="4.1799999999999997E-2"/>
  </r>
  <r>
    <x v="5"/>
    <x v="3"/>
    <x v="4"/>
    <n v="6.2E-2"/>
  </r>
  <r>
    <x v="5"/>
    <x v="3"/>
    <x v="5"/>
    <n v="6.2E-2"/>
  </r>
  <r>
    <x v="5"/>
    <x v="4"/>
    <x v="6"/>
    <n v="2.2200000000000001E-2"/>
  </r>
  <r>
    <x v="5"/>
    <x v="4"/>
    <x v="7"/>
    <n v="5.3900000000000003E-2"/>
  </r>
  <r>
    <x v="5"/>
    <x v="4"/>
    <x v="0"/>
    <n v="5.5399999999999998E-2"/>
  </r>
  <r>
    <x v="5"/>
    <x v="4"/>
    <x v="2"/>
    <n v="4.1799999999999997E-2"/>
  </r>
  <r>
    <x v="5"/>
    <x v="4"/>
    <x v="4"/>
    <n v="6.2E-2"/>
  </r>
  <r>
    <x v="5"/>
    <x v="4"/>
    <x v="5"/>
    <n v="6.2E-2"/>
  </r>
  <r>
    <x v="5"/>
    <x v="5"/>
    <x v="6"/>
    <n v="2.2200000000000001E-2"/>
  </r>
  <r>
    <x v="5"/>
    <x v="5"/>
    <x v="7"/>
    <n v="5.28E-2"/>
  </r>
  <r>
    <x v="5"/>
    <x v="5"/>
    <x v="0"/>
    <n v="5.4399999999999997E-2"/>
  </r>
  <r>
    <x v="5"/>
    <x v="5"/>
    <x v="2"/>
    <n v="4.1799999999999997E-2"/>
  </r>
  <r>
    <x v="5"/>
    <x v="5"/>
    <x v="4"/>
    <n v="6.2E-2"/>
  </r>
  <r>
    <x v="5"/>
    <x v="5"/>
    <x v="5"/>
    <n v="6.2E-2"/>
  </r>
  <r>
    <x v="5"/>
    <x v="6"/>
    <x v="0"/>
    <n v="5.1200000000000002E-2"/>
  </r>
  <r>
    <x v="5"/>
    <x v="6"/>
    <x v="2"/>
    <n v="3.7199999999999997E-2"/>
  </r>
  <r>
    <x v="5"/>
    <x v="6"/>
    <x v="6"/>
    <n v="2.2200000000000001E-2"/>
  </r>
  <r>
    <x v="5"/>
    <x v="6"/>
    <x v="7"/>
    <n v="4.9500000000000002E-2"/>
  </r>
  <r>
    <x v="5"/>
    <x v="7"/>
    <x v="0"/>
    <n v="4.7800000000000002E-2"/>
  </r>
  <r>
    <x v="5"/>
    <x v="7"/>
    <x v="1"/>
    <n v="3.1E-2"/>
  </r>
  <r>
    <x v="5"/>
    <x v="7"/>
    <x v="2"/>
    <n v="4.2999999999999997E-2"/>
  </r>
  <r>
    <x v="5"/>
    <x v="7"/>
    <x v="3"/>
    <n v="4.65E-2"/>
  </r>
  <r>
    <x v="5"/>
    <x v="8"/>
    <x v="0"/>
    <n v="4.4299999999999999E-2"/>
  </r>
  <r>
    <x v="5"/>
    <x v="8"/>
    <x v="1"/>
    <n v="2.46E-2"/>
  </r>
  <r>
    <x v="5"/>
    <x v="8"/>
    <x v="2"/>
    <n v="3.8600000000000002E-2"/>
  </r>
  <r>
    <x v="5"/>
    <x v="8"/>
    <x v="3"/>
    <n v="4.0800000000000003E-2"/>
  </r>
  <r>
    <x v="6"/>
    <x v="0"/>
    <x v="0"/>
    <n v="5.2900000000000003E-2"/>
  </r>
  <r>
    <x v="6"/>
    <x v="1"/>
    <x v="0"/>
    <n v="5.2900000000000003E-2"/>
  </r>
  <r>
    <x v="6"/>
    <x v="1"/>
    <x v="1"/>
    <n v="3.7900000000000003E-2"/>
  </r>
  <r>
    <x v="6"/>
    <x v="1"/>
    <x v="2"/>
    <n v="3.8100000000000002E-2"/>
  </r>
  <r>
    <x v="6"/>
    <x v="1"/>
    <x v="3"/>
    <n v="5.3999999999999999E-2"/>
  </r>
  <r>
    <x v="6"/>
    <x v="2"/>
    <x v="0"/>
    <n v="4.1799999999999997E-2"/>
  </r>
  <r>
    <x v="6"/>
    <x v="2"/>
    <x v="1"/>
    <n v="2.5899999999999999E-2"/>
  </r>
  <r>
    <x v="6"/>
    <x v="2"/>
    <x v="2"/>
    <n v="3.3599999999999998E-2"/>
  </r>
  <r>
    <x v="6"/>
    <x v="2"/>
    <x v="3"/>
    <n v="4.3200000000000002E-2"/>
  </r>
  <r>
    <x v="6"/>
    <x v="3"/>
    <x v="0"/>
    <n v="5.2900000000000003E-2"/>
  </r>
  <r>
    <x v="6"/>
    <x v="3"/>
    <x v="2"/>
    <n v="3.8100000000000002E-2"/>
  </r>
  <r>
    <x v="6"/>
    <x v="3"/>
    <x v="4"/>
    <n v="6.1100000000000002E-2"/>
  </r>
  <r>
    <x v="6"/>
    <x v="3"/>
    <x v="5"/>
    <n v="6.1100000000000002E-2"/>
  </r>
  <r>
    <x v="6"/>
    <x v="4"/>
    <x v="6"/>
    <n v="2.2200000000000001E-2"/>
  </r>
  <r>
    <x v="6"/>
    <x v="4"/>
    <x v="7"/>
    <n v="5.3499999999999999E-2"/>
  </r>
  <r>
    <x v="6"/>
    <x v="4"/>
    <x v="0"/>
    <n v="5.4899999999999997E-2"/>
  </r>
  <r>
    <x v="6"/>
    <x v="4"/>
    <x v="2"/>
    <n v="3.8100000000000002E-2"/>
  </r>
  <r>
    <x v="6"/>
    <x v="4"/>
    <x v="4"/>
    <n v="6.1100000000000002E-2"/>
  </r>
  <r>
    <x v="6"/>
    <x v="4"/>
    <x v="5"/>
    <n v="6.1100000000000002E-2"/>
  </r>
  <r>
    <x v="6"/>
    <x v="5"/>
    <x v="6"/>
    <n v="2.2200000000000001E-2"/>
  </r>
  <r>
    <x v="6"/>
    <x v="5"/>
    <x v="7"/>
    <n v="5.2499999999999998E-2"/>
  </r>
  <r>
    <x v="6"/>
    <x v="5"/>
    <x v="0"/>
    <n v="5.3999999999999999E-2"/>
  </r>
  <r>
    <x v="6"/>
    <x v="5"/>
    <x v="2"/>
    <n v="3.8100000000000002E-2"/>
  </r>
  <r>
    <x v="6"/>
    <x v="5"/>
    <x v="4"/>
    <n v="6.1100000000000002E-2"/>
  </r>
  <r>
    <x v="6"/>
    <x v="5"/>
    <x v="5"/>
    <n v="6.1100000000000002E-2"/>
  </r>
  <r>
    <x v="6"/>
    <x v="6"/>
    <x v="0"/>
    <n v="5.0799999999999998E-2"/>
  </r>
  <r>
    <x v="6"/>
    <x v="6"/>
    <x v="2"/>
    <n v="3.3599999999999998E-2"/>
  </r>
  <r>
    <x v="6"/>
    <x v="6"/>
    <x v="6"/>
    <n v="2.2200000000000001E-2"/>
  </r>
  <r>
    <x v="6"/>
    <x v="6"/>
    <x v="7"/>
    <n v="4.9200000000000001E-2"/>
  </r>
  <r>
    <x v="6"/>
    <x v="7"/>
    <x v="0"/>
    <n v="4.7600000000000003E-2"/>
  </r>
  <r>
    <x v="6"/>
    <x v="7"/>
    <x v="1"/>
    <n v="3.09E-2"/>
  </r>
  <r>
    <x v="6"/>
    <x v="7"/>
    <x v="2"/>
    <n v="3.9199999999999999E-2"/>
  </r>
  <r>
    <x v="6"/>
    <x v="7"/>
    <x v="3"/>
    <n v="4.6800000000000001E-2"/>
  </r>
  <r>
    <x v="6"/>
    <x v="8"/>
    <x v="0"/>
    <n v="4.41E-2"/>
  </r>
  <r>
    <x v="6"/>
    <x v="8"/>
    <x v="1"/>
    <n v="2.46E-2"/>
  </r>
  <r>
    <x v="6"/>
    <x v="8"/>
    <x v="2"/>
    <n v="3.49E-2"/>
  </r>
  <r>
    <x v="6"/>
    <x v="8"/>
    <x v="3"/>
    <n v="4.1000000000000002E-2"/>
  </r>
  <r>
    <x v="7"/>
    <x v="0"/>
    <x v="0"/>
    <n v="5.1700000000000003E-2"/>
  </r>
  <r>
    <x v="7"/>
    <x v="1"/>
    <x v="0"/>
    <n v="5.1700000000000003E-2"/>
  </r>
  <r>
    <x v="7"/>
    <x v="1"/>
    <x v="1"/>
    <n v="3.6999999999999998E-2"/>
  </r>
  <r>
    <x v="7"/>
    <x v="1"/>
    <x v="2"/>
    <n v="3.4599999999999999E-2"/>
  </r>
  <r>
    <x v="7"/>
    <x v="1"/>
    <x v="3"/>
    <n v="5.3699999999999998E-2"/>
  </r>
  <r>
    <x v="7"/>
    <x v="2"/>
    <x v="0"/>
    <n v="4.1000000000000002E-2"/>
  </r>
  <r>
    <x v="7"/>
    <x v="2"/>
    <x v="1"/>
    <n v="2.5399999999999999E-2"/>
  </r>
  <r>
    <x v="7"/>
    <x v="2"/>
    <x v="2"/>
    <n v="3.0300000000000001E-2"/>
  </r>
  <r>
    <x v="7"/>
    <x v="2"/>
    <x v="3"/>
    <n v="4.2900000000000001E-2"/>
  </r>
  <r>
    <x v="7"/>
    <x v="3"/>
    <x v="0"/>
    <n v="5.1700000000000003E-2"/>
  </r>
  <r>
    <x v="7"/>
    <x v="3"/>
    <x v="2"/>
    <n v="3.4599999999999999E-2"/>
  </r>
  <r>
    <x v="7"/>
    <x v="3"/>
    <x v="4"/>
    <n v="5.9299999999999999E-2"/>
  </r>
  <r>
    <x v="7"/>
    <x v="3"/>
    <x v="5"/>
    <n v="5.9299999999999999E-2"/>
  </r>
  <r>
    <x v="7"/>
    <x v="4"/>
    <x v="6"/>
    <n v="2.24E-2"/>
  </r>
  <r>
    <x v="7"/>
    <x v="4"/>
    <x v="7"/>
    <n v="5.2999999999999999E-2"/>
  </r>
  <r>
    <x v="7"/>
    <x v="4"/>
    <x v="0"/>
    <n v="5.3600000000000002E-2"/>
  </r>
  <r>
    <x v="7"/>
    <x v="4"/>
    <x v="2"/>
    <n v="3.4599999999999999E-2"/>
  </r>
  <r>
    <x v="7"/>
    <x v="4"/>
    <x v="4"/>
    <n v="5.9299999999999999E-2"/>
  </r>
  <r>
    <x v="7"/>
    <x v="4"/>
    <x v="5"/>
    <n v="5.9299999999999999E-2"/>
  </r>
  <r>
    <x v="7"/>
    <x v="5"/>
    <x v="6"/>
    <n v="2.24E-2"/>
  </r>
  <r>
    <x v="7"/>
    <x v="5"/>
    <x v="7"/>
    <n v="5.1999999999999998E-2"/>
  </r>
  <r>
    <x v="7"/>
    <x v="5"/>
    <x v="0"/>
    <n v="5.2699999999999997E-2"/>
  </r>
  <r>
    <x v="7"/>
    <x v="5"/>
    <x v="2"/>
    <n v="3.4599999999999999E-2"/>
  </r>
  <r>
    <x v="7"/>
    <x v="5"/>
    <x v="4"/>
    <n v="5.9299999999999999E-2"/>
  </r>
  <r>
    <x v="7"/>
    <x v="5"/>
    <x v="5"/>
    <n v="5.9299999999999999E-2"/>
  </r>
  <r>
    <x v="7"/>
    <x v="6"/>
    <x v="0"/>
    <n v="4.9700000000000001E-2"/>
  </r>
  <r>
    <x v="7"/>
    <x v="6"/>
    <x v="2"/>
    <n v="3.0300000000000001E-2"/>
  </r>
  <r>
    <x v="7"/>
    <x v="6"/>
    <x v="6"/>
    <n v="2.24E-2"/>
  </r>
  <r>
    <x v="7"/>
    <x v="6"/>
    <x v="7"/>
    <n v="4.8800000000000003E-2"/>
  </r>
  <r>
    <x v="7"/>
    <x v="7"/>
    <x v="0"/>
    <n v="4.6600000000000003E-2"/>
  </r>
  <r>
    <x v="7"/>
    <x v="7"/>
    <x v="1"/>
    <n v="3.0300000000000001E-2"/>
  </r>
  <r>
    <x v="7"/>
    <x v="7"/>
    <x v="2"/>
    <n v="3.5700000000000003E-2"/>
  </r>
  <r>
    <x v="7"/>
    <x v="7"/>
    <x v="3"/>
    <n v="4.65E-2"/>
  </r>
  <r>
    <x v="7"/>
    <x v="8"/>
    <x v="0"/>
    <n v="4.3299999999999998E-2"/>
  </r>
  <r>
    <x v="7"/>
    <x v="8"/>
    <x v="1"/>
    <n v="2.4199999999999999E-2"/>
  </r>
  <r>
    <x v="7"/>
    <x v="8"/>
    <x v="2"/>
    <n v="3.15E-2"/>
  </r>
  <r>
    <x v="7"/>
    <x v="8"/>
    <x v="3"/>
    <n v="4.0800000000000003E-2"/>
  </r>
  <r>
    <x v="8"/>
    <x v="0"/>
    <x v="0"/>
    <n v="5.2200000000000003E-2"/>
  </r>
  <r>
    <x v="8"/>
    <x v="1"/>
    <x v="0"/>
    <n v="5.2200000000000003E-2"/>
  </r>
  <r>
    <x v="8"/>
    <x v="1"/>
    <x v="1"/>
    <n v="3.7400000000000003E-2"/>
  </r>
  <r>
    <x v="8"/>
    <x v="1"/>
    <x v="2"/>
    <n v="3.7600000000000001E-2"/>
  </r>
  <r>
    <x v="8"/>
    <x v="1"/>
    <x v="3"/>
    <n v="5.4399999999999997E-2"/>
  </r>
  <r>
    <x v="8"/>
    <x v="2"/>
    <x v="0"/>
    <n v="4.1300000000000003E-2"/>
  </r>
  <r>
    <x v="8"/>
    <x v="2"/>
    <x v="1"/>
    <n v="2.5600000000000001E-2"/>
  </r>
  <r>
    <x v="8"/>
    <x v="2"/>
    <x v="2"/>
    <n v="3.3300000000000003E-2"/>
  </r>
  <r>
    <x v="8"/>
    <x v="2"/>
    <x v="3"/>
    <n v="4.3499999999999997E-2"/>
  </r>
  <r>
    <x v="8"/>
    <x v="3"/>
    <x v="0"/>
    <n v="5.2200000000000003E-2"/>
  </r>
  <r>
    <x v="8"/>
    <x v="3"/>
    <x v="2"/>
    <n v="3.7600000000000001E-2"/>
  </r>
  <r>
    <x v="8"/>
    <x v="3"/>
    <x v="4"/>
    <n v="0.06"/>
  </r>
  <r>
    <x v="8"/>
    <x v="3"/>
    <x v="5"/>
    <n v="0.06"/>
  </r>
  <r>
    <x v="8"/>
    <x v="4"/>
    <x v="6"/>
    <n v="2.2700000000000001E-2"/>
  </r>
  <r>
    <x v="8"/>
    <x v="4"/>
    <x v="7"/>
    <n v="4.9599999999999998E-2"/>
  </r>
  <r>
    <x v="8"/>
    <x v="4"/>
    <x v="0"/>
    <n v="5.4100000000000002E-2"/>
  </r>
  <r>
    <x v="8"/>
    <x v="4"/>
    <x v="2"/>
    <n v="3.7600000000000001E-2"/>
  </r>
  <r>
    <x v="8"/>
    <x v="4"/>
    <x v="4"/>
    <n v="0.06"/>
  </r>
  <r>
    <x v="8"/>
    <x v="4"/>
    <x v="5"/>
    <n v="0.06"/>
  </r>
  <r>
    <x v="8"/>
    <x v="5"/>
    <x v="6"/>
    <n v="2.2700000000000001E-2"/>
  </r>
  <r>
    <x v="8"/>
    <x v="5"/>
    <x v="7"/>
    <n v="4.8599999999999997E-2"/>
  </r>
  <r>
    <x v="8"/>
    <x v="5"/>
    <x v="0"/>
    <n v="5.3199999999999997E-2"/>
  </r>
  <r>
    <x v="8"/>
    <x v="5"/>
    <x v="2"/>
    <n v="3.7600000000000001E-2"/>
  </r>
  <r>
    <x v="8"/>
    <x v="5"/>
    <x v="4"/>
    <n v="0.06"/>
  </r>
  <r>
    <x v="8"/>
    <x v="5"/>
    <x v="5"/>
    <n v="0.06"/>
  </r>
  <r>
    <x v="8"/>
    <x v="6"/>
    <x v="0"/>
    <n v="5.0200000000000002E-2"/>
  </r>
  <r>
    <x v="8"/>
    <x v="6"/>
    <x v="2"/>
    <n v="3.3300000000000003E-2"/>
  </r>
  <r>
    <x v="8"/>
    <x v="6"/>
    <x v="6"/>
    <n v="2.2700000000000001E-2"/>
  </r>
  <r>
    <x v="8"/>
    <x v="6"/>
    <x v="7"/>
    <n v="4.5600000000000002E-2"/>
  </r>
  <r>
    <x v="8"/>
    <x v="7"/>
    <x v="0"/>
    <n v="4.7E-2"/>
  </r>
  <r>
    <x v="8"/>
    <x v="7"/>
    <x v="1"/>
    <n v="3.0499999999999999E-2"/>
  </r>
  <r>
    <x v="8"/>
    <x v="7"/>
    <x v="2"/>
    <n v="3.8800000000000001E-2"/>
  </r>
  <r>
    <x v="8"/>
    <x v="7"/>
    <x v="3"/>
    <n v="4.7100000000000003E-2"/>
  </r>
  <r>
    <x v="8"/>
    <x v="8"/>
    <x v="0"/>
    <n v="4.36E-2"/>
  </r>
  <r>
    <x v="8"/>
    <x v="8"/>
    <x v="1"/>
    <n v="2.4400000000000002E-2"/>
  </r>
  <r>
    <x v="8"/>
    <x v="8"/>
    <x v="2"/>
    <n v="3.4599999999999999E-2"/>
  </r>
  <r>
    <x v="8"/>
    <x v="8"/>
    <x v="3"/>
    <n v="4.1300000000000003E-2"/>
  </r>
  <r>
    <x v="9"/>
    <x v="0"/>
    <x v="0"/>
    <n v="5.1299999999999998E-2"/>
  </r>
  <r>
    <x v="9"/>
    <x v="1"/>
    <x v="0"/>
    <n v="5.1299999999999998E-2"/>
  </r>
  <r>
    <x v="9"/>
    <x v="1"/>
    <x v="1"/>
    <n v="3.6700000000000003E-2"/>
  </r>
  <r>
    <x v="9"/>
    <x v="1"/>
    <x v="2"/>
    <n v="3.9399999999999998E-2"/>
  </r>
  <r>
    <x v="9"/>
    <x v="1"/>
    <x v="3"/>
    <n v="5.4300000000000001E-2"/>
  </r>
  <r>
    <x v="9"/>
    <x v="2"/>
    <x v="0"/>
    <n v="4.0599999999999997E-2"/>
  </r>
  <r>
    <x v="9"/>
    <x v="2"/>
    <x v="1"/>
    <n v="2.52E-2"/>
  </r>
  <r>
    <x v="9"/>
    <x v="2"/>
    <x v="2"/>
    <n v="3.5099999999999999E-2"/>
  </r>
  <r>
    <x v="9"/>
    <x v="2"/>
    <x v="3"/>
    <n v="4.3499999999999997E-2"/>
  </r>
  <r>
    <x v="9"/>
    <x v="3"/>
    <x v="0"/>
    <n v="5.1299999999999998E-2"/>
  </r>
  <r>
    <x v="9"/>
    <x v="3"/>
    <x v="2"/>
    <n v="3.9399999999999998E-2"/>
  </r>
  <r>
    <x v="9"/>
    <x v="3"/>
    <x v="4"/>
    <n v="5.8999999999999997E-2"/>
  </r>
  <r>
    <x v="9"/>
    <x v="3"/>
    <x v="5"/>
    <n v="5.8999999999999997E-2"/>
  </r>
  <r>
    <x v="9"/>
    <x v="4"/>
    <x v="6"/>
    <n v="2.2700000000000001E-2"/>
  </r>
  <r>
    <x v="9"/>
    <x v="4"/>
    <x v="7"/>
    <n v="5.1999999999999998E-2"/>
  </r>
  <r>
    <x v="9"/>
    <x v="4"/>
    <x v="0"/>
    <n v="5.3199999999999997E-2"/>
  </r>
  <r>
    <x v="9"/>
    <x v="4"/>
    <x v="2"/>
    <n v="3.9399999999999998E-2"/>
  </r>
  <r>
    <x v="9"/>
    <x v="4"/>
    <x v="4"/>
    <n v="5.8999999999999997E-2"/>
  </r>
  <r>
    <x v="9"/>
    <x v="4"/>
    <x v="5"/>
    <n v="5.8999999999999997E-2"/>
  </r>
  <r>
    <x v="9"/>
    <x v="5"/>
    <x v="6"/>
    <n v="2.2700000000000001E-2"/>
  </r>
  <r>
    <x v="9"/>
    <x v="5"/>
    <x v="7"/>
    <n v="5.0999999999999997E-2"/>
  </r>
  <r>
    <x v="9"/>
    <x v="5"/>
    <x v="0"/>
    <n v="5.2299999999999999E-2"/>
  </r>
  <r>
    <x v="9"/>
    <x v="5"/>
    <x v="2"/>
    <n v="3.9399999999999998E-2"/>
  </r>
  <r>
    <x v="9"/>
    <x v="5"/>
    <x v="4"/>
    <n v="5.8999999999999997E-2"/>
  </r>
  <r>
    <x v="9"/>
    <x v="5"/>
    <x v="5"/>
    <n v="5.8999999999999997E-2"/>
  </r>
  <r>
    <x v="9"/>
    <x v="6"/>
    <x v="0"/>
    <n v="4.9299999999999997E-2"/>
  </r>
  <r>
    <x v="9"/>
    <x v="6"/>
    <x v="2"/>
    <n v="3.5099999999999999E-2"/>
  </r>
  <r>
    <x v="9"/>
    <x v="6"/>
    <x v="6"/>
    <n v="2.2700000000000001E-2"/>
  </r>
  <r>
    <x v="9"/>
    <x v="6"/>
    <x v="7"/>
    <n v="4.7899999999999998E-2"/>
  </r>
  <r>
    <x v="9"/>
    <x v="7"/>
    <x v="0"/>
    <n v="4.7E-2"/>
  </r>
  <r>
    <x v="9"/>
    <x v="7"/>
    <x v="1"/>
    <n v="3.0499999999999999E-2"/>
  </r>
  <r>
    <x v="9"/>
    <x v="7"/>
    <x v="2"/>
    <n v="3.8800000000000001E-2"/>
  </r>
  <r>
    <x v="9"/>
    <x v="7"/>
    <x v="3"/>
    <n v="4.7100000000000003E-2"/>
  </r>
  <r>
    <x v="9"/>
    <x v="8"/>
    <x v="0"/>
    <n v="4.36E-2"/>
  </r>
  <r>
    <x v="9"/>
    <x v="8"/>
    <x v="1"/>
    <n v="2.4400000000000002E-2"/>
  </r>
  <r>
    <x v="9"/>
    <x v="8"/>
    <x v="2"/>
    <n v="3.4599999999999999E-2"/>
  </r>
  <r>
    <x v="9"/>
    <x v="8"/>
    <x v="3"/>
    <n v="4.1300000000000003E-2"/>
  </r>
  <r>
    <x v="10"/>
    <x v="0"/>
    <x v="0"/>
    <n v="5.1900000000000002E-2"/>
  </r>
  <r>
    <x v="10"/>
    <x v="1"/>
    <x v="0"/>
    <n v="5.1900000000000002E-2"/>
  </r>
  <r>
    <x v="10"/>
    <x v="1"/>
    <x v="1"/>
    <n v="3.7100000000000001E-2"/>
  </r>
  <r>
    <x v="10"/>
    <x v="1"/>
    <x v="2"/>
    <n v="4.2799999999999998E-2"/>
  </r>
  <r>
    <x v="10"/>
    <x v="1"/>
    <x v="3"/>
    <n v="5.3900000000000003E-2"/>
  </r>
  <r>
    <x v="10"/>
    <x v="2"/>
    <x v="0"/>
    <n v="4.0899999999999999E-2"/>
  </r>
  <r>
    <x v="10"/>
    <x v="2"/>
    <x v="1"/>
    <n v="2.5399999999999999E-2"/>
  </r>
  <r>
    <x v="10"/>
    <x v="2"/>
    <x v="2"/>
    <n v="3.8399999999999997E-2"/>
  </r>
  <r>
    <x v="10"/>
    <x v="2"/>
    <x v="3"/>
    <n v="4.3099999999999999E-2"/>
  </r>
  <r>
    <x v="10"/>
    <x v="3"/>
    <x v="0"/>
    <n v="5.1900000000000002E-2"/>
  </r>
  <r>
    <x v="10"/>
    <x v="3"/>
    <x v="2"/>
    <n v="4.2799999999999998E-2"/>
  </r>
  <r>
    <x v="10"/>
    <x v="3"/>
    <x v="4"/>
    <n v="0.06"/>
  </r>
  <r>
    <x v="10"/>
    <x v="3"/>
    <x v="5"/>
    <n v="0.06"/>
  </r>
  <r>
    <x v="10"/>
    <x v="4"/>
    <x v="6"/>
    <n v="2.2499999999999999E-2"/>
  </r>
  <r>
    <x v="10"/>
    <x v="4"/>
    <x v="7"/>
    <n v="5.33E-2"/>
  </r>
  <r>
    <x v="10"/>
    <x v="4"/>
    <x v="0"/>
    <n v="5.4800000000000001E-2"/>
  </r>
  <r>
    <x v="10"/>
    <x v="4"/>
    <x v="2"/>
    <n v="4.2799999999999998E-2"/>
  </r>
  <r>
    <x v="10"/>
    <x v="4"/>
    <x v="4"/>
    <n v="0.06"/>
  </r>
  <r>
    <x v="10"/>
    <x v="4"/>
    <x v="5"/>
    <n v="0.06"/>
  </r>
  <r>
    <x v="10"/>
    <x v="5"/>
    <x v="6"/>
    <n v="2.2499999999999999E-2"/>
  </r>
  <r>
    <x v="10"/>
    <x v="5"/>
    <x v="7"/>
    <n v="5.33E-2"/>
  </r>
  <r>
    <x v="10"/>
    <x v="5"/>
    <x v="0"/>
    <n v="5.4800000000000001E-2"/>
  </r>
  <r>
    <x v="10"/>
    <x v="5"/>
    <x v="2"/>
    <n v="4.2799999999999998E-2"/>
  </r>
  <r>
    <x v="10"/>
    <x v="5"/>
    <x v="4"/>
    <n v="0.06"/>
  </r>
  <r>
    <x v="10"/>
    <x v="5"/>
    <x v="5"/>
    <n v="0.06"/>
  </r>
  <r>
    <x v="10"/>
    <x v="6"/>
    <x v="0"/>
    <n v="4.9799999999999997E-2"/>
  </r>
  <r>
    <x v="10"/>
    <x v="6"/>
    <x v="2"/>
    <n v="3.8399999999999997E-2"/>
  </r>
  <r>
    <x v="10"/>
    <x v="6"/>
    <x v="6"/>
    <n v="2.2499999999999999E-2"/>
  </r>
  <r>
    <x v="10"/>
    <x v="6"/>
    <x v="7"/>
    <n v="4.8099999999999997E-2"/>
  </r>
  <r>
    <x v="10"/>
    <x v="7"/>
    <x v="0"/>
    <n v="4.7E-2"/>
  </r>
  <r>
    <x v="10"/>
    <x v="7"/>
    <x v="1"/>
    <n v="3.0499999999999999E-2"/>
  </r>
  <r>
    <x v="10"/>
    <x v="7"/>
    <x v="2"/>
    <n v="3.8800000000000001E-2"/>
  </r>
  <r>
    <x v="10"/>
    <x v="7"/>
    <x v="3"/>
    <n v="4.7100000000000003E-2"/>
  </r>
  <r>
    <x v="10"/>
    <x v="8"/>
    <x v="0"/>
    <n v="4.36E-2"/>
  </r>
  <r>
    <x v="10"/>
    <x v="8"/>
    <x v="1"/>
    <n v="2.4400000000000002E-2"/>
  </r>
  <r>
    <x v="10"/>
    <x v="8"/>
    <x v="2"/>
    <n v="3.4599999999999999E-2"/>
  </r>
  <r>
    <x v="10"/>
    <x v="8"/>
    <x v="3"/>
    <n v="4.1300000000000003E-2"/>
  </r>
  <r>
    <x v="11"/>
    <x v="0"/>
    <x v="0"/>
    <n v="5.0999999999999997E-2"/>
  </r>
  <r>
    <x v="11"/>
    <x v="1"/>
    <x v="0"/>
    <n v="5.0999999999999997E-2"/>
  </r>
  <r>
    <x v="11"/>
    <x v="1"/>
    <x v="1"/>
    <n v="3.6499999999999998E-2"/>
  </r>
  <r>
    <x v="11"/>
    <x v="1"/>
    <x v="2"/>
    <n v="3.5999999999999997E-2"/>
  </r>
  <r>
    <x v="11"/>
    <x v="1"/>
    <x v="3"/>
    <n v="5.5300000000000002E-2"/>
  </r>
  <r>
    <x v="11"/>
    <x v="2"/>
    <x v="0"/>
    <n v="4.0399999999999998E-2"/>
  </r>
  <r>
    <x v="11"/>
    <x v="2"/>
    <x v="1"/>
    <n v="2.5100000000000001E-2"/>
  </r>
  <r>
    <x v="11"/>
    <x v="2"/>
    <x v="2"/>
    <n v="3.1800000000000002E-2"/>
  </r>
  <r>
    <x v="11"/>
    <x v="2"/>
    <x v="3"/>
    <n v="4.4200000000000003E-2"/>
  </r>
  <r>
    <x v="11"/>
    <x v="3"/>
    <x v="0"/>
    <n v="5.0999999999999997E-2"/>
  </r>
  <r>
    <x v="11"/>
    <x v="3"/>
    <x v="2"/>
    <n v="3.5999999999999997E-2"/>
  </r>
  <r>
    <x v="11"/>
    <x v="3"/>
    <x v="4"/>
    <n v="5.8500000000000003E-2"/>
  </r>
  <r>
    <x v="11"/>
    <x v="3"/>
    <x v="5"/>
    <n v="5.8500000000000003E-2"/>
  </r>
  <r>
    <x v="11"/>
    <x v="4"/>
    <x v="6"/>
    <n v="2.2499999999999999E-2"/>
  </r>
  <r>
    <x v="11"/>
    <x v="4"/>
    <x v="7"/>
    <n v="5.1400000000000001E-2"/>
  </r>
  <r>
    <x v="11"/>
    <x v="4"/>
    <x v="0"/>
    <n v="5.28E-2"/>
  </r>
  <r>
    <x v="11"/>
    <x v="4"/>
    <x v="2"/>
    <n v="3.5999999999999997E-2"/>
  </r>
  <r>
    <x v="11"/>
    <x v="4"/>
    <x v="4"/>
    <n v="5.8500000000000003E-2"/>
  </r>
  <r>
    <x v="11"/>
    <x v="4"/>
    <x v="5"/>
    <n v="5.8500000000000003E-2"/>
  </r>
  <r>
    <x v="11"/>
    <x v="5"/>
    <x v="6"/>
    <n v="2.2499999999999999E-2"/>
  </r>
  <r>
    <x v="11"/>
    <x v="5"/>
    <x v="7"/>
    <n v="5.04E-2"/>
  </r>
  <r>
    <x v="11"/>
    <x v="5"/>
    <x v="0"/>
    <n v="5.1900000000000002E-2"/>
  </r>
  <r>
    <x v="11"/>
    <x v="5"/>
    <x v="2"/>
    <n v="3.5999999999999997E-2"/>
  </r>
  <r>
    <x v="11"/>
    <x v="5"/>
    <x v="4"/>
    <n v="5.8500000000000003E-2"/>
  </r>
  <r>
    <x v="11"/>
    <x v="5"/>
    <x v="5"/>
    <n v="5.8500000000000003E-2"/>
  </r>
  <r>
    <x v="11"/>
    <x v="6"/>
    <x v="0"/>
    <n v="4.9000000000000002E-2"/>
  </r>
  <r>
    <x v="11"/>
    <x v="6"/>
    <x v="2"/>
    <n v="3.1800000000000002E-2"/>
  </r>
  <r>
    <x v="11"/>
    <x v="6"/>
    <x v="6"/>
    <n v="2.2499999999999999E-2"/>
  </r>
  <r>
    <x v="11"/>
    <x v="6"/>
    <x v="7"/>
    <n v="4.7399999999999998E-2"/>
  </r>
  <r>
    <x v="11"/>
    <x v="7"/>
    <x v="0"/>
    <n v="4.7E-2"/>
  </r>
  <r>
    <x v="11"/>
    <x v="7"/>
    <x v="1"/>
    <n v="3.0499999999999999E-2"/>
  </r>
  <r>
    <x v="11"/>
    <x v="7"/>
    <x v="2"/>
    <n v="3.8800000000000001E-2"/>
  </r>
  <r>
    <x v="11"/>
    <x v="7"/>
    <x v="3"/>
    <n v="4.7100000000000003E-2"/>
  </r>
  <r>
    <x v="11"/>
    <x v="8"/>
    <x v="0"/>
    <n v="4.36E-2"/>
  </r>
  <r>
    <x v="11"/>
    <x v="8"/>
    <x v="1"/>
    <n v="2.4400000000000002E-2"/>
  </r>
  <r>
    <x v="11"/>
    <x v="8"/>
    <x v="2"/>
    <n v="3.4599999999999999E-2"/>
  </r>
  <r>
    <x v="11"/>
    <x v="8"/>
    <x v="3"/>
    <n v="4.1300000000000003E-2"/>
  </r>
  <r>
    <x v="12"/>
    <x v="0"/>
    <x v="0"/>
    <n v="5.1499999999999997E-2"/>
  </r>
  <r>
    <x v="12"/>
    <x v="1"/>
    <x v="0"/>
    <n v="5.1499999999999997E-2"/>
  </r>
  <r>
    <x v="12"/>
    <x v="1"/>
    <x v="1"/>
    <n v="3.6900000000000002E-2"/>
  </r>
  <r>
    <x v="12"/>
    <x v="1"/>
    <x v="2"/>
    <n v="3.5400000000000001E-2"/>
  </r>
  <r>
    <x v="12"/>
    <x v="1"/>
    <x v="3"/>
    <n v="5.5100000000000003E-2"/>
  </r>
  <r>
    <x v="12"/>
    <x v="2"/>
    <x v="0"/>
    <n v="4.0899999999999999E-2"/>
  </r>
  <r>
    <x v="12"/>
    <x v="2"/>
    <x v="1"/>
    <n v="3.4700000000000002E-2"/>
  </r>
  <r>
    <x v="12"/>
    <x v="2"/>
    <x v="2"/>
    <n v="3.1099999999999999E-2"/>
  </r>
  <r>
    <x v="12"/>
    <x v="2"/>
    <x v="3"/>
    <n v="4.41E-2"/>
  </r>
  <r>
    <x v="12"/>
    <x v="3"/>
    <x v="0"/>
    <n v="5.1499999999999997E-2"/>
  </r>
  <r>
    <x v="12"/>
    <x v="3"/>
    <x v="2"/>
    <n v="3.5400000000000001E-2"/>
  </r>
  <r>
    <x v="12"/>
    <x v="3"/>
    <x v="4"/>
    <n v="5.8999999999999997E-2"/>
  </r>
  <r>
    <x v="12"/>
    <x v="3"/>
    <x v="5"/>
    <n v="5.8999999999999997E-2"/>
  </r>
  <r>
    <x v="12"/>
    <x v="4"/>
    <x v="6"/>
    <n v="2.2800000000000001E-2"/>
  </r>
  <r>
    <x v="12"/>
    <x v="4"/>
    <x v="7"/>
    <n v="5.1999999999999998E-2"/>
  </r>
  <r>
    <x v="12"/>
    <x v="4"/>
    <x v="0"/>
    <n v="5.3400000000000003E-2"/>
  </r>
  <r>
    <x v="12"/>
    <x v="4"/>
    <x v="2"/>
    <n v="3.5400000000000001E-2"/>
  </r>
  <r>
    <x v="12"/>
    <x v="4"/>
    <x v="4"/>
    <n v="5.8999999999999997E-2"/>
  </r>
  <r>
    <x v="12"/>
    <x v="4"/>
    <x v="5"/>
    <n v="5.8999999999999997E-2"/>
  </r>
  <r>
    <x v="12"/>
    <x v="5"/>
    <x v="6"/>
    <n v="2.2800000000000001E-2"/>
  </r>
  <r>
    <x v="12"/>
    <x v="5"/>
    <x v="7"/>
    <n v="5.0999999999999997E-2"/>
  </r>
  <r>
    <x v="12"/>
    <x v="5"/>
    <x v="0"/>
    <n v="5.2499999999999998E-2"/>
  </r>
  <r>
    <x v="12"/>
    <x v="5"/>
    <x v="2"/>
    <n v="3.5400000000000001E-2"/>
  </r>
  <r>
    <x v="12"/>
    <x v="5"/>
    <x v="4"/>
    <n v="5.8999999999999997E-2"/>
  </r>
  <r>
    <x v="12"/>
    <x v="5"/>
    <x v="5"/>
    <n v="5.8999999999999997E-2"/>
  </r>
  <r>
    <x v="12"/>
    <x v="6"/>
    <x v="0"/>
    <n v="4.9599999999999998E-2"/>
  </r>
  <r>
    <x v="12"/>
    <x v="6"/>
    <x v="2"/>
    <n v="3.1099999999999999E-2"/>
  </r>
  <r>
    <x v="12"/>
    <x v="6"/>
    <x v="6"/>
    <n v="2.2800000000000001E-2"/>
  </r>
  <r>
    <x v="12"/>
    <x v="6"/>
    <x v="7"/>
    <n v="4.7899999999999998E-2"/>
  </r>
  <r>
    <x v="12"/>
    <x v="9"/>
    <x v="0"/>
    <n v="5.0599999999999999E-2"/>
  </r>
  <r>
    <x v="12"/>
    <x v="9"/>
    <x v="2"/>
    <n v="3.1099999999999999E-2"/>
  </r>
  <r>
    <x v="12"/>
    <x v="9"/>
    <x v="6"/>
    <n v="2.2800000000000001E-2"/>
  </r>
  <r>
    <x v="12"/>
    <x v="9"/>
    <x v="7"/>
    <n v="4.9000000000000002E-2"/>
  </r>
  <r>
    <x v="12"/>
    <x v="7"/>
    <x v="0"/>
    <n v="4.65E-2"/>
  </r>
  <r>
    <x v="12"/>
    <x v="7"/>
    <x v="1"/>
    <n v="3.0200000000000001E-2"/>
  </r>
  <r>
    <x v="12"/>
    <x v="7"/>
    <x v="2"/>
    <n v="3.6499999999999998E-2"/>
  </r>
  <r>
    <x v="12"/>
    <x v="7"/>
    <x v="3"/>
    <n v="4.7699999999999999E-2"/>
  </r>
  <r>
    <x v="12"/>
    <x v="8"/>
    <x v="0"/>
    <n v="4.3200000000000002E-2"/>
  </r>
  <r>
    <x v="12"/>
    <x v="8"/>
    <x v="1"/>
    <n v="2.4199999999999999E-2"/>
  </r>
  <r>
    <x v="12"/>
    <x v="8"/>
    <x v="2"/>
    <n v="3.2399999999999998E-2"/>
  </r>
  <r>
    <x v="12"/>
    <x v="8"/>
    <x v="3"/>
    <n v="4.19E-2"/>
  </r>
  <r>
    <x v="13"/>
    <x v="0"/>
    <x v="0"/>
    <n v="5.0900000000000001E-2"/>
  </r>
  <r>
    <x v="13"/>
    <x v="1"/>
    <x v="0"/>
    <n v="5.0900000000000001E-2"/>
  </r>
  <r>
    <x v="13"/>
    <x v="1"/>
    <x v="1"/>
    <n v="3.6400000000000002E-2"/>
  </r>
  <r>
    <x v="13"/>
    <x v="1"/>
    <x v="2"/>
    <n v="3.44E-2"/>
  </r>
  <r>
    <x v="13"/>
    <x v="1"/>
    <x v="3"/>
    <n v="5.4899999999999997E-2"/>
  </r>
  <r>
    <x v="13"/>
    <x v="2"/>
    <x v="0"/>
    <n v="4.0500000000000001E-2"/>
  </r>
  <r>
    <x v="13"/>
    <x v="2"/>
    <x v="1"/>
    <n v="3.4299999999999997E-2"/>
  </r>
  <r>
    <x v="13"/>
    <x v="2"/>
    <x v="2"/>
    <n v="3.0300000000000001E-2"/>
  </r>
  <r>
    <x v="13"/>
    <x v="2"/>
    <x v="3"/>
    <n v="4.3900000000000002E-2"/>
  </r>
  <r>
    <x v="13"/>
    <x v="3"/>
    <x v="0"/>
    <n v="5.0900000000000001E-2"/>
  </r>
  <r>
    <x v="13"/>
    <x v="3"/>
    <x v="2"/>
    <n v="3.44E-2"/>
  </r>
  <r>
    <x v="13"/>
    <x v="3"/>
    <x v="4"/>
    <n v="5.8099999999999999E-2"/>
  </r>
  <r>
    <x v="13"/>
    <x v="3"/>
    <x v="5"/>
    <n v="5.8099999999999999E-2"/>
  </r>
  <r>
    <x v="13"/>
    <x v="4"/>
    <x v="6"/>
    <n v="2.29E-2"/>
  </r>
  <r>
    <x v="13"/>
    <x v="4"/>
    <x v="7"/>
    <n v="5.11E-2"/>
  </r>
  <r>
    <x v="13"/>
    <x v="4"/>
    <x v="0"/>
    <n v="5.2699999999999997E-2"/>
  </r>
  <r>
    <x v="13"/>
    <x v="4"/>
    <x v="2"/>
    <n v="3.44E-2"/>
  </r>
  <r>
    <x v="13"/>
    <x v="4"/>
    <x v="4"/>
    <n v="5.8099999999999999E-2"/>
  </r>
  <r>
    <x v="13"/>
    <x v="4"/>
    <x v="5"/>
    <n v="5.8099999999999999E-2"/>
  </r>
  <r>
    <x v="13"/>
    <x v="5"/>
    <x v="6"/>
    <n v="2.29E-2"/>
  </r>
  <r>
    <x v="13"/>
    <x v="5"/>
    <x v="7"/>
    <n v="5.0200000000000002E-2"/>
  </r>
  <r>
    <x v="13"/>
    <x v="5"/>
    <x v="0"/>
    <n v="5.1799999999999999E-2"/>
  </r>
  <r>
    <x v="13"/>
    <x v="5"/>
    <x v="2"/>
    <n v="3.44E-2"/>
  </r>
  <r>
    <x v="13"/>
    <x v="5"/>
    <x v="4"/>
    <n v="5.8099999999999999E-2"/>
  </r>
  <r>
    <x v="13"/>
    <x v="5"/>
    <x v="5"/>
    <n v="5.8099999999999999E-2"/>
  </r>
  <r>
    <x v="13"/>
    <x v="6"/>
    <x v="0"/>
    <n v="4.9000000000000002E-2"/>
  </r>
  <r>
    <x v="13"/>
    <x v="6"/>
    <x v="2"/>
    <n v="3.0300000000000001E-2"/>
  </r>
  <r>
    <x v="13"/>
    <x v="6"/>
    <x v="6"/>
    <n v="5.5199999999999999E-2"/>
  </r>
  <r>
    <x v="13"/>
    <x v="6"/>
    <x v="7"/>
    <n v="4.7100000000000003E-2"/>
  </r>
  <r>
    <x v="13"/>
    <x v="9"/>
    <x v="0"/>
    <n v="4.99E-2"/>
  </r>
  <r>
    <x v="13"/>
    <x v="9"/>
    <x v="2"/>
    <n v="3.0300000000000001E-2"/>
  </r>
  <r>
    <x v="13"/>
    <x v="9"/>
    <x v="6"/>
    <n v="2.29E-2"/>
  </r>
  <r>
    <x v="13"/>
    <x v="9"/>
    <x v="7"/>
    <n v="4.82E-2"/>
  </r>
  <r>
    <x v="13"/>
    <x v="7"/>
    <x v="0"/>
    <n v="4.5900000000000003E-2"/>
  </r>
  <r>
    <x v="13"/>
    <x v="7"/>
    <x v="1"/>
    <n v="2.9899999999999999E-2"/>
  </r>
  <r>
    <x v="13"/>
    <x v="7"/>
    <x v="2"/>
    <n v="3.5499999999999997E-2"/>
  </r>
  <r>
    <x v="13"/>
    <x v="7"/>
    <x v="3"/>
    <n v="4.7500000000000001E-2"/>
  </r>
  <r>
    <x v="13"/>
    <x v="8"/>
    <x v="0"/>
    <n v="4.2700000000000002E-2"/>
  </r>
  <r>
    <x v="13"/>
    <x v="8"/>
    <x v="1"/>
    <n v="2.3900000000000001E-2"/>
  </r>
  <r>
    <x v="13"/>
    <x v="8"/>
    <x v="2"/>
    <n v="3.15E-2"/>
  </r>
  <r>
    <x v="13"/>
    <x v="8"/>
    <x v="3"/>
    <n v="4.1700000000000001E-2"/>
  </r>
  <r>
    <x v="14"/>
    <x v="0"/>
    <x v="0"/>
    <n v="5.1799999999999999E-2"/>
  </r>
  <r>
    <x v="14"/>
    <x v="1"/>
    <x v="0"/>
    <n v="5.1799999999999999E-2"/>
  </r>
  <r>
    <x v="14"/>
    <x v="1"/>
    <x v="1"/>
    <n v="3.7100000000000001E-2"/>
  </r>
  <r>
    <x v="14"/>
    <x v="1"/>
    <x v="2"/>
    <n v="3.4000000000000002E-2"/>
  </r>
  <r>
    <x v="14"/>
    <x v="1"/>
    <x v="3"/>
    <n v="5.33E-2"/>
  </r>
  <r>
    <x v="14"/>
    <x v="2"/>
    <x v="0"/>
    <n v="4.1099999999999998E-2"/>
  </r>
  <r>
    <x v="14"/>
    <x v="2"/>
    <x v="1"/>
    <n v="3.9199999999999999E-2"/>
  </r>
  <r>
    <x v="14"/>
    <x v="2"/>
    <x v="2"/>
    <n v="2.98E-2"/>
  </r>
  <r>
    <x v="14"/>
    <x v="2"/>
    <x v="3"/>
    <n v="4.2700000000000002E-2"/>
  </r>
  <r>
    <x v="14"/>
    <x v="3"/>
    <x v="0"/>
    <n v="5.1799999999999999E-2"/>
  </r>
  <r>
    <x v="14"/>
    <x v="3"/>
    <x v="2"/>
    <n v="3.4000000000000002E-2"/>
  </r>
  <r>
    <x v="14"/>
    <x v="3"/>
    <x v="4"/>
    <n v="5.9299999999999999E-2"/>
  </r>
  <r>
    <x v="14"/>
    <x v="3"/>
    <x v="5"/>
    <n v="5.9299999999999999E-2"/>
  </r>
  <r>
    <x v="14"/>
    <x v="4"/>
    <x v="6"/>
    <n v="5.1799999999999999E-2"/>
  </r>
  <r>
    <x v="14"/>
    <x v="4"/>
    <x v="7"/>
    <n v="5.1499999999999997E-2"/>
  </r>
  <r>
    <x v="14"/>
    <x v="4"/>
    <x v="0"/>
    <n v="5.3699999999999998E-2"/>
  </r>
  <r>
    <x v="14"/>
    <x v="4"/>
    <x v="2"/>
    <n v="3.4000000000000002E-2"/>
  </r>
  <r>
    <x v="14"/>
    <x v="4"/>
    <x v="4"/>
    <n v="5.9299999999999999E-2"/>
  </r>
  <r>
    <x v="14"/>
    <x v="4"/>
    <x v="5"/>
    <n v="5.9299999999999999E-2"/>
  </r>
  <r>
    <x v="14"/>
    <x v="5"/>
    <x v="6"/>
    <n v="5.1799999999999999E-2"/>
  </r>
  <r>
    <x v="14"/>
    <x v="5"/>
    <x v="7"/>
    <n v="5.0500000000000003E-2"/>
  </r>
  <r>
    <x v="14"/>
    <x v="5"/>
    <x v="0"/>
    <n v="5.28E-2"/>
  </r>
  <r>
    <x v="14"/>
    <x v="5"/>
    <x v="2"/>
    <n v="3.4000000000000002E-2"/>
  </r>
  <r>
    <x v="14"/>
    <x v="5"/>
    <x v="4"/>
    <n v="5.9299999999999999E-2"/>
  </r>
  <r>
    <x v="14"/>
    <x v="5"/>
    <x v="5"/>
    <n v="5.9299999999999999E-2"/>
  </r>
  <r>
    <x v="14"/>
    <x v="6"/>
    <x v="0"/>
    <n v="4.99E-2"/>
  </r>
  <r>
    <x v="14"/>
    <x v="6"/>
    <x v="2"/>
    <n v="2.98E-2"/>
  </r>
  <r>
    <x v="14"/>
    <x v="6"/>
    <x v="6"/>
    <n v="5.1799999999999999E-2"/>
  </r>
  <r>
    <x v="14"/>
    <x v="6"/>
    <x v="7"/>
    <n v="4.7399999999999998E-2"/>
  </r>
  <r>
    <x v="14"/>
    <x v="9"/>
    <x v="0"/>
    <n v="5.0900000000000001E-2"/>
  </r>
  <r>
    <x v="14"/>
    <x v="9"/>
    <x v="2"/>
    <n v="2.98E-2"/>
  </r>
  <r>
    <x v="14"/>
    <x v="9"/>
    <x v="6"/>
    <n v="5.1799999999999999E-2"/>
  </r>
  <r>
    <x v="14"/>
    <x v="9"/>
    <x v="7"/>
    <n v="4.8500000000000001E-2"/>
  </r>
  <r>
    <x v="14"/>
    <x v="7"/>
    <x v="0"/>
    <n v="4.6699999999999998E-2"/>
  </r>
  <r>
    <x v="14"/>
    <x v="7"/>
    <x v="1"/>
    <n v="3.04E-2"/>
  </r>
  <r>
    <x v="14"/>
    <x v="7"/>
    <x v="2"/>
    <n v="3.5200000000000002E-2"/>
  </r>
  <r>
    <x v="14"/>
    <x v="7"/>
    <x v="3"/>
    <n v="4.6199999999999998E-2"/>
  </r>
  <r>
    <x v="14"/>
    <x v="8"/>
    <x v="0"/>
    <n v="4.3400000000000001E-2"/>
  </r>
  <r>
    <x v="14"/>
    <x v="8"/>
    <x v="1"/>
    <n v="2.4299999999999999E-2"/>
  </r>
  <r>
    <x v="14"/>
    <x v="8"/>
    <x v="2"/>
    <n v="3.1E-2"/>
  </r>
  <r>
    <x v="14"/>
    <x v="8"/>
    <x v="3"/>
    <n v="4.0500000000000001E-2"/>
  </r>
  <r>
    <x v="15"/>
    <x v="0"/>
    <x v="0"/>
    <n v="5.1799999999999999E-2"/>
  </r>
  <r>
    <x v="15"/>
    <x v="1"/>
    <x v="0"/>
    <n v="5.1799999999999999E-2"/>
  </r>
  <r>
    <x v="15"/>
    <x v="1"/>
    <x v="1"/>
    <n v="3.7100000000000001E-2"/>
  </r>
  <r>
    <x v="15"/>
    <x v="1"/>
    <x v="2"/>
    <n v="3.4299999999999997E-2"/>
  </r>
  <r>
    <x v="15"/>
    <x v="1"/>
    <x v="3"/>
    <n v="5.21E-2"/>
  </r>
  <r>
    <x v="15"/>
    <x v="2"/>
    <x v="0"/>
    <n v="4.1099999999999998E-2"/>
  </r>
  <r>
    <x v="15"/>
    <x v="2"/>
    <x v="1"/>
    <n v="2.5499999999999998E-2"/>
  </r>
  <r>
    <x v="15"/>
    <x v="2"/>
    <x v="2"/>
    <n v="0.03"/>
  </r>
  <r>
    <x v="15"/>
    <x v="2"/>
    <x v="3"/>
    <n v="4.1700000000000001E-2"/>
  </r>
  <r>
    <x v="15"/>
    <x v="3"/>
    <x v="0"/>
    <n v="5.1799999999999999E-2"/>
  </r>
  <r>
    <x v="15"/>
    <x v="3"/>
    <x v="2"/>
    <n v="3.4299999999999997E-2"/>
  </r>
  <r>
    <x v="15"/>
    <x v="3"/>
    <x v="4"/>
    <n v="5.9400000000000001E-2"/>
  </r>
  <r>
    <x v="15"/>
    <x v="3"/>
    <x v="5"/>
    <n v="5.9400000000000001E-2"/>
  </r>
  <r>
    <x v="15"/>
    <x v="4"/>
    <x v="6"/>
    <n v="2.3099999999999999E-2"/>
  </r>
  <r>
    <x v="15"/>
    <x v="4"/>
    <x v="7"/>
    <n v="5.0900000000000001E-2"/>
  </r>
  <r>
    <x v="15"/>
    <x v="4"/>
    <x v="0"/>
    <n v="5.3699999999999998E-2"/>
  </r>
  <r>
    <x v="15"/>
    <x v="4"/>
    <x v="2"/>
    <n v="3.4299999999999997E-2"/>
  </r>
  <r>
    <x v="15"/>
    <x v="4"/>
    <x v="4"/>
    <n v="5.9400000000000001E-2"/>
  </r>
  <r>
    <x v="15"/>
    <x v="4"/>
    <x v="5"/>
    <n v="5.9400000000000001E-2"/>
  </r>
  <r>
    <x v="15"/>
    <x v="5"/>
    <x v="6"/>
    <n v="2.3099999999999999E-2"/>
  </r>
  <r>
    <x v="15"/>
    <x v="5"/>
    <x v="7"/>
    <n v="5.0900000000000001E-2"/>
  </r>
  <r>
    <x v="15"/>
    <x v="5"/>
    <x v="0"/>
    <n v="5.28E-2"/>
  </r>
  <r>
    <x v="15"/>
    <x v="5"/>
    <x v="2"/>
    <n v="3.4299999999999997E-2"/>
  </r>
  <r>
    <x v="15"/>
    <x v="5"/>
    <x v="4"/>
    <n v="5.9400000000000001E-2"/>
  </r>
  <r>
    <x v="15"/>
    <x v="5"/>
    <x v="5"/>
    <n v="5.9400000000000001E-2"/>
  </r>
  <r>
    <x v="15"/>
    <x v="6"/>
    <x v="0"/>
    <n v="4.9799999999999997E-2"/>
  </r>
  <r>
    <x v="15"/>
    <x v="6"/>
    <x v="2"/>
    <n v="0.03"/>
  </r>
  <r>
    <x v="15"/>
    <x v="6"/>
    <x v="6"/>
    <n v="2.3099999999999999E-2"/>
  </r>
  <r>
    <x v="15"/>
    <x v="6"/>
    <x v="7"/>
    <n v="4.6800000000000001E-2"/>
  </r>
  <r>
    <x v="15"/>
    <x v="9"/>
    <x v="0"/>
    <n v="5.0799999999999998E-2"/>
  </r>
  <r>
    <x v="15"/>
    <x v="9"/>
    <x v="2"/>
    <n v="0.03"/>
  </r>
  <r>
    <x v="15"/>
    <x v="9"/>
    <x v="6"/>
    <n v="2.3099999999999999E-2"/>
  </r>
  <r>
    <x v="15"/>
    <x v="9"/>
    <x v="7"/>
    <n v="4.7800000000000002E-2"/>
  </r>
  <r>
    <x v="15"/>
    <x v="7"/>
    <x v="0"/>
    <n v="4.6699999999999998E-2"/>
  </r>
  <r>
    <x v="15"/>
    <x v="7"/>
    <x v="1"/>
    <n v="3.0300000000000001E-2"/>
  </r>
  <r>
    <x v="15"/>
    <x v="7"/>
    <x v="2"/>
    <n v="3.5400000000000001E-2"/>
  </r>
  <r>
    <x v="15"/>
    <x v="7"/>
    <x v="3"/>
    <n v="4.5199999999999997E-2"/>
  </r>
  <r>
    <x v="15"/>
    <x v="8"/>
    <x v="0"/>
    <n v="4.3400000000000001E-2"/>
  </r>
  <r>
    <x v="15"/>
    <x v="8"/>
    <x v="1"/>
    <n v="2.4199999999999999E-2"/>
  </r>
  <r>
    <x v="15"/>
    <x v="8"/>
    <x v="2"/>
    <n v="3.1199999999999999E-2"/>
  </r>
  <r>
    <x v="15"/>
    <x v="8"/>
    <x v="3"/>
    <n v="3.9600000000000003E-2"/>
  </r>
  <r>
    <x v="16"/>
    <x v="0"/>
    <x v="0"/>
    <n v="5.3499999999999999E-2"/>
  </r>
  <r>
    <x v="16"/>
    <x v="1"/>
    <x v="0"/>
    <n v="5.3499999999999999E-2"/>
  </r>
  <r>
    <x v="16"/>
    <x v="1"/>
    <x v="1"/>
    <n v="3.8300000000000001E-2"/>
  </r>
  <r>
    <x v="16"/>
    <x v="1"/>
    <x v="2"/>
    <n v="3.5999999999999997E-2"/>
  </r>
  <r>
    <x v="16"/>
    <x v="1"/>
    <x v="3"/>
    <n v="5.28E-2"/>
  </r>
  <r>
    <x v="16"/>
    <x v="2"/>
    <x v="0"/>
    <n v="4.24E-2"/>
  </r>
  <r>
    <x v="16"/>
    <x v="2"/>
    <x v="1"/>
    <n v="2.63E-2"/>
  </r>
  <r>
    <x v="16"/>
    <x v="2"/>
    <x v="2"/>
    <n v="3.1399999999999997E-2"/>
  </r>
  <r>
    <x v="16"/>
    <x v="2"/>
    <x v="3"/>
    <n v="4.2200000000000001E-2"/>
  </r>
  <r>
    <x v="16"/>
    <x v="3"/>
    <x v="0"/>
    <n v="5.3499999999999999E-2"/>
  </r>
  <r>
    <x v="16"/>
    <x v="3"/>
    <x v="2"/>
    <n v="3.5999999999999997E-2"/>
  </r>
  <r>
    <x v="16"/>
    <x v="3"/>
    <x v="4"/>
    <n v="6.1199999999999997E-2"/>
  </r>
  <r>
    <x v="16"/>
    <x v="3"/>
    <x v="5"/>
    <n v="6.1199999999999997E-2"/>
  </r>
  <r>
    <x v="16"/>
    <x v="4"/>
    <x v="6"/>
    <n v="2.3599999999999999E-2"/>
  </r>
  <r>
    <x v="16"/>
    <x v="4"/>
    <x v="7"/>
    <n v="5.2999999999999999E-2"/>
  </r>
  <r>
    <x v="16"/>
    <x v="4"/>
    <x v="0"/>
    <n v="5.5399999999999998E-2"/>
  </r>
  <r>
    <x v="16"/>
    <x v="4"/>
    <x v="2"/>
    <n v="3.5999999999999997E-2"/>
  </r>
  <r>
    <x v="16"/>
    <x v="4"/>
    <x v="4"/>
    <n v="6.1199999999999997E-2"/>
  </r>
  <r>
    <x v="16"/>
    <x v="4"/>
    <x v="5"/>
    <n v="6.1199999999999997E-2"/>
  </r>
  <r>
    <x v="16"/>
    <x v="5"/>
    <x v="6"/>
    <n v="2.3599999999999999E-2"/>
  </r>
  <r>
    <x v="16"/>
    <x v="5"/>
    <x v="7"/>
    <n v="5.2999999999999999E-2"/>
  </r>
  <r>
    <x v="16"/>
    <x v="5"/>
    <x v="0"/>
    <n v="5.45E-2"/>
  </r>
  <r>
    <x v="16"/>
    <x v="5"/>
    <x v="2"/>
    <n v="3.5999999999999997E-2"/>
  </r>
  <r>
    <x v="16"/>
    <x v="5"/>
    <x v="4"/>
    <n v="6.1199999999999997E-2"/>
  </r>
  <r>
    <x v="16"/>
    <x v="5"/>
    <x v="5"/>
    <n v="6.1199999999999997E-2"/>
  </r>
  <r>
    <x v="16"/>
    <x v="6"/>
    <x v="0"/>
    <n v="5.1499999999999997E-2"/>
  </r>
  <r>
    <x v="16"/>
    <x v="6"/>
    <x v="2"/>
    <n v="3.1399999999999997E-2"/>
  </r>
  <r>
    <x v="16"/>
    <x v="6"/>
    <x v="6"/>
    <n v="2.3599999999999999E-2"/>
  </r>
  <r>
    <x v="16"/>
    <x v="6"/>
    <x v="7"/>
    <n v="4.87E-2"/>
  </r>
  <r>
    <x v="16"/>
    <x v="9"/>
    <x v="0"/>
    <n v="5.2499999999999998E-2"/>
  </r>
  <r>
    <x v="16"/>
    <x v="9"/>
    <x v="2"/>
    <n v="3.1399999999999997E-2"/>
  </r>
  <r>
    <x v="16"/>
    <x v="9"/>
    <x v="6"/>
    <n v="2.3599999999999999E-2"/>
  </r>
  <r>
    <x v="16"/>
    <x v="9"/>
    <x v="7"/>
    <n v="4.9799999999999997E-2"/>
  </r>
  <r>
    <x v="16"/>
    <x v="7"/>
    <x v="0"/>
    <n v="4.82E-2"/>
  </r>
  <r>
    <x v="16"/>
    <x v="7"/>
    <x v="1"/>
    <n v="3.1399999999999997E-2"/>
  </r>
  <r>
    <x v="16"/>
    <x v="7"/>
    <x v="2"/>
    <n v="3.7199999999999997E-2"/>
  </r>
  <r>
    <x v="16"/>
    <x v="7"/>
    <x v="3"/>
    <n v="4.5699999999999998E-2"/>
  </r>
  <r>
    <x v="16"/>
    <x v="8"/>
    <x v="0"/>
    <n v="4.48E-2"/>
  </r>
  <r>
    <x v="16"/>
    <x v="8"/>
    <x v="1"/>
    <n v="2.5000000000000001E-2"/>
  </r>
  <r>
    <x v="16"/>
    <x v="8"/>
    <x v="2"/>
    <n v="3.2800000000000003E-2"/>
  </r>
  <r>
    <x v="16"/>
    <x v="8"/>
    <x v="3"/>
    <n v="4.0099999999999997E-2"/>
  </r>
  <r>
    <x v="17"/>
    <x v="0"/>
    <x v="0"/>
    <n v="5.3100000000000001E-2"/>
  </r>
  <r>
    <x v="17"/>
    <x v="1"/>
    <x v="0"/>
    <n v="5.3100000000000001E-2"/>
  </r>
  <r>
    <x v="17"/>
    <x v="1"/>
    <x v="1"/>
    <n v="3.7999999999999999E-2"/>
  </r>
  <r>
    <x v="17"/>
    <x v="1"/>
    <x v="2"/>
    <n v="3.7600000000000001E-2"/>
  </r>
  <r>
    <x v="17"/>
    <x v="1"/>
    <x v="3"/>
    <n v="5.2999999999999999E-2"/>
  </r>
  <r>
    <x v="17"/>
    <x v="2"/>
    <x v="0"/>
    <n v="4.2099999999999999E-2"/>
  </r>
  <r>
    <x v="17"/>
    <x v="2"/>
    <x v="1"/>
    <n v="2.6100000000000002E-2"/>
  </r>
  <r>
    <x v="17"/>
    <x v="2"/>
    <x v="2"/>
    <n v="3.3099999999999997E-2"/>
  </r>
  <r>
    <x v="17"/>
    <x v="2"/>
    <x v="3"/>
    <n v="4.24E-2"/>
  </r>
  <r>
    <x v="17"/>
    <x v="3"/>
    <x v="0"/>
    <n v="5.3100000000000001E-2"/>
  </r>
  <r>
    <x v="17"/>
    <x v="3"/>
    <x v="2"/>
    <n v="3.7600000000000001E-2"/>
  </r>
  <r>
    <x v="17"/>
    <x v="3"/>
    <x v="4"/>
    <n v="6.08E-2"/>
  </r>
  <r>
    <x v="17"/>
    <x v="3"/>
    <x v="5"/>
    <n v="6.08E-2"/>
  </r>
  <r>
    <x v="17"/>
    <x v="4"/>
    <x v="6"/>
    <n v="2.3599999999999999E-2"/>
  </r>
  <r>
    <x v="17"/>
    <x v="4"/>
    <x v="7"/>
    <n v="5.2499999999999998E-2"/>
  </r>
  <r>
    <x v="17"/>
    <x v="4"/>
    <x v="0"/>
    <n v="5.5E-2"/>
  </r>
  <r>
    <x v="17"/>
    <x v="4"/>
    <x v="2"/>
    <n v="3.7600000000000001E-2"/>
  </r>
  <r>
    <x v="17"/>
    <x v="4"/>
    <x v="4"/>
    <n v="6.08E-2"/>
  </r>
  <r>
    <x v="17"/>
    <x v="4"/>
    <x v="5"/>
    <n v="6.08E-2"/>
  </r>
  <r>
    <x v="17"/>
    <x v="5"/>
    <x v="6"/>
    <n v="2.3599999999999999E-2"/>
  </r>
  <r>
    <x v="17"/>
    <x v="5"/>
    <x v="7"/>
    <n v="5.2499999999999998E-2"/>
  </r>
  <r>
    <x v="17"/>
    <x v="5"/>
    <x v="0"/>
    <n v="5.4100000000000002E-2"/>
  </r>
  <r>
    <x v="17"/>
    <x v="5"/>
    <x v="2"/>
    <n v="3.7600000000000001E-2"/>
  </r>
  <r>
    <x v="17"/>
    <x v="5"/>
    <x v="4"/>
    <n v="6.08E-2"/>
  </r>
  <r>
    <x v="17"/>
    <x v="5"/>
    <x v="5"/>
    <n v="6.08E-2"/>
  </r>
  <r>
    <x v="17"/>
    <x v="6"/>
    <x v="0"/>
    <n v="5.11E-2"/>
  </r>
  <r>
    <x v="17"/>
    <x v="6"/>
    <x v="2"/>
    <n v="3.3099999999999997E-2"/>
  </r>
  <r>
    <x v="17"/>
    <x v="6"/>
    <x v="6"/>
    <n v="2.3599999999999999E-2"/>
  </r>
  <r>
    <x v="17"/>
    <x v="6"/>
    <x v="7"/>
    <n v="4.8300000000000003E-2"/>
  </r>
  <r>
    <x v="17"/>
    <x v="9"/>
    <x v="0"/>
    <n v="5.21E-2"/>
  </r>
  <r>
    <x v="17"/>
    <x v="9"/>
    <x v="2"/>
    <n v="3.3099999999999997E-2"/>
  </r>
  <r>
    <x v="17"/>
    <x v="9"/>
    <x v="6"/>
    <n v="2.3599999999999999E-2"/>
  </r>
  <r>
    <x v="17"/>
    <x v="9"/>
    <x v="7"/>
    <n v="4.9399999999999999E-2"/>
  </r>
  <r>
    <x v="17"/>
    <x v="7"/>
    <x v="0"/>
    <n v="4.7800000000000002E-2"/>
  </r>
  <r>
    <x v="17"/>
    <x v="7"/>
    <x v="1"/>
    <n v="3.1099999999999999E-2"/>
  </r>
  <r>
    <x v="17"/>
    <x v="7"/>
    <x v="2"/>
    <n v="3.8800000000000001E-2"/>
  </r>
  <r>
    <x v="17"/>
    <x v="7"/>
    <x v="3"/>
    <n v="4.5999999999999999E-2"/>
  </r>
  <r>
    <x v="17"/>
    <x v="8"/>
    <x v="0"/>
    <n v="4.4400000000000002E-2"/>
  </r>
  <r>
    <x v="17"/>
    <x v="8"/>
    <x v="1"/>
    <n v="2.4799999999999999E-2"/>
  </r>
  <r>
    <x v="17"/>
    <x v="8"/>
    <x v="2"/>
    <n v="3.44E-2"/>
  </r>
  <r>
    <x v="17"/>
    <x v="8"/>
    <x v="3"/>
    <n v="4.0300000000000002E-2"/>
  </r>
  <r>
    <x v="18"/>
    <x v="0"/>
    <x v="0"/>
    <n v="0"/>
  </r>
  <r>
    <x v="18"/>
    <x v="1"/>
    <x v="0"/>
    <n v="0"/>
  </r>
  <r>
    <x v="18"/>
    <x v="1"/>
    <x v="1"/>
    <n v="0"/>
  </r>
  <r>
    <x v="18"/>
    <x v="1"/>
    <x v="2"/>
    <n v="0"/>
  </r>
  <r>
    <x v="18"/>
    <x v="1"/>
    <x v="3"/>
    <n v="0"/>
  </r>
  <r>
    <x v="18"/>
    <x v="2"/>
    <x v="0"/>
    <n v="0"/>
  </r>
  <r>
    <x v="18"/>
    <x v="2"/>
    <x v="1"/>
    <n v="0"/>
  </r>
  <r>
    <x v="18"/>
    <x v="2"/>
    <x v="2"/>
    <n v="0"/>
  </r>
  <r>
    <x v="18"/>
    <x v="2"/>
    <x v="3"/>
    <n v="0"/>
  </r>
  <r>
    <x v="18"/>
    <x v="3"/>
    <x v="0"/>
    <n v="0"/>
  </r>
  <r>
    <x v="18"/>
    <x v="3"/>
    <x v="2"/>
    <n v="0"/>
  </r>
  <r>
    <x v="18"/>
    <x v="3"/>
    <x v="4"/>
    <n v="0"/>
  </r>
  <r>
    <x v="18"/>
    <x v="3"/>
    <x v="5"/>
    <n v="0"/>
  </r>
  <r>
    <x v="18"/>
    <x v="4"/>
    <x v="6"/>
    <n v="0"/>
  </r>
  <r>
    <x v="18"/>
    <x v="4"/>
    <x v="7"/>
    <n v="0"/>
  </r>
  <r>
    <x v="18"/>
    <x v="4"/>
    <x v="0"/>
    <n v="0"/>
  </r>
  <r>
    <x v="18"/>
    <x v="4"/>
    <x v="2"/>
    <n v="0"/>
  </r>
  <r>
    <x v="18"/>
    <x v="4"/>
    <x v="4"/>
    <n v="0"/>
  </r>
  <r>
    <x v="18"/>
    <x v="4"/>
    <x v="5"/>
    <n v="0"/>
  </r>
  <r>
    <x v="18"/>
    <x v="5"/>
    <x v="6"/>
    <n v="0"/>
  </r>
  <r>
    <x v="18"/>
    <x v="5"/>
    <x v="7"/>
    <n v="0"/>
  </r>
  <r>
    <x v="18"/>
    <x v="5"/>
    <x v="0"/>
    <n v="0"/>
  </r>
  <r>
    <x v="18"/>
    <x v="5"/>
    <x v="2"/>
    <n v="0"/>
  </r>
  <r>
    <x v="18"/>
    <x v="5"/>
    <x v="4"/>
    <n v="0"/>
  </r>
  <r>
    <x v="18"/>
    <x v="5"/>
    <x v="5"/>
    <n v="0"/>
  </r>
  <r>
    <x v="18"/>
    <x v="6"/>
    <x v="0"/>
    <n v="0"/>
  </r>
  <r>
    <x v="18"/>
    <x v="6"/>
    <x v="2"/>
    <n v="0"/>
  </r>
  <r>
    <x v="18"/>
    <x v="6"/>
    <x v="6"/>
    <n v="0"/>
  </r>
  <r>
    <x v="18"/>
    <x v="6"/>
    <x v="7"/>
    <n v="0"/>
  </r>
  <r>
    <x v="18"/>
    <x v="9"/>
    <x v="0"/>
    <n v="0"/>
  </r>
  <r>
    <x v="18"/>
    <x v="9"/>
    <x v="2"/>
    <n v="0"/>
  </r>
  <r>
    <x v="18"/>
    <x v="9"/>
    <x v="6"/>
    <n v="0"/>
  </r>
  <r>
    <x v="18"/>
    <x v="9"/>
    <x v="7"/>
    <n v="0"/>
  </r>
  <r>
    <x v="18"/>
    <x v="7"/>
    <x v="0"/>
    <n v="0"/>
  </r>
  <r>
    <x v="18"/>
    <x v="7"/>
    <x v="1"/>
    <n v="0"/>
  </r>
  <r>
    <x v="18"/>
    <x v="7"/>
    <x v="2"/>
    <n v="0"/>
  </r>
  <r>
    <x v="18"/>
    <x v="7"/>
    <x v="3"/>
    <n v="0"/>
  </r>
  <r>
    <x v="18"/>
    <x v="8"/>
    <x v="0"/>
    <n v="0"/>
  </r>
  <r>
    <x v="18"/>
    <x v="8"/>
    <x v="1"/>
    <n v="0"/>
  </r>
  <r>
    <x v="18"/>
    <x v="8"/>
    <x v="2"/>
    <n v="0"/>
  </r>
  <r>
    <x v="18"/>
    <x v="8"/>
    <x v="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4">
  <r>
    <x v="0"/>
    <x v="0"/>
    <x v="0"/>
    <n v="5.21E-2"/>
  </r>
  <r>
    <x v="0"/>
    <x v="0"/>
    <x v="1"/>
    <n v="4.0300000000000002E-2"/>
  </r>
  <r>
    <x v="0"/>
    <x v="0"/>
    <x v="2"/>
    <n v="2.2200000000000001E-2"/>
  </r>
  <r>
    <x v="0"/>
    <x v="0"/>
    <x v="3"/>
    <n v="4.9700000000000001E-2"/>
  </r>
  <r>
    <x v="0"/>
    <x v="1"/>
    <x v="0"/>
    <n v="5.4399999999999997E-2"/>
  </r>
  <r>
    <x v="0"/>
    <x v="2"/>
    <x v="0"/>
    <n v="5.4399999999999997E-2"/>
  </r>
  <r>
    <x v="0"/>
    <x v="2"/>
    <x v="4"/>
    <n v="3.9E-2"/>
  </r>
  <r>
    <x v="0"/>
    <x v="2"/>
    <x v="1"/>
    <n v="4.5100000000000001E-2"/>
  </r>
  <r>
    <x v="0"/>
    <x v="2"/>
    <x v="5"/>
    <n v="5.3100000000000001E-2"/>
  </r>
  <r>
    <x v="0"/>
    <x v="3"/>
    <x v="0"/>
    <n v="4.2500000000000003E-2"/>
  </r>
  <r>
    <x v="0"/>
    <x v="3"/>
    <x v="4"/>
    <n v="2.64E-2"/>
  </r>
  <r>
    <x v="0"/>
    <x v="3"/>
    <x v="1"/>
    <n v="3.1800000000000002E-2"/>
  </r>
  <r>
    <x v="0"/>
    <x v="3"/>
    <x v="5"/>
    <n v="4.2500000000000003E-2"/>
  </r>
  <r>
    <x v="0"/>
    <x v="4"/>
    <x v="0"/>
    <n v="4.4999999999999998E-2"/>
  </r>
  <r>
    <x v="0"/>
    <x v="4"/>
    <x v="4"/>
    <n v="2.5000000000000001E-2"/>
  </r>
  <r>
    <x v="0"/>
    <x v="4"/>
    <x v="1"/>
    <n v="4.1700000000000001E-2"/>
  </r>
  <r>
    <x v="0"/>
    <x v="4"/>
    <x v="5"/>
    <n v="4.0399999999999998E-2"/>
  </r>
  <r>
    <x v="0"/>
    <x v="5"/>
    <x v="0"/>
    <n v="4.8599999999999997E-2"/>
  </r>
  <r>
    <x v="0"/>
    <x v="5"/>
    <x v="4"/>
    <n v="3.1600000000000003E-2"/>
  </r>
  <r>
    <x v="0"/>
    <x v="5"/>
    <x v="1"/>
    <n v="4.6300000000000001E-2"/>
  </r>
  <r>
    <x v="0"/>
    <x v="5"/>
    <x v="5"/>
    <n v="4.5999999999999999E-2"/>
  </r>
  <r>
    <x v="0"/>
    <x v="6"/>
    <x v="0"/>
    <n v="5.4399999999999997E-2"/>
  </r>
  <r>
    <x v="0"/>
    <x v="6"/>
    <x v="1"/>
    <n v="4.5100000000000001E-2"/>
  </r>
  <r>
    <x v="0"/>
    <x v="6"/>
    <x v="6"/>
    <n v="6.3399999999999998E-2"/>
  </r>
  <r>
    <x v="0"/>
    <x v="6"/>
    <x v="7"/>
    <n v="6.3399999999999998E-2"/>
  </r>
  <r>
    <x v="0"/>
    <x v="7"/>
    <x v="0"/>
    <n v="5.6500000000000002E-2"/>
  </r>
  <r>
    <x v="0"/>
    <x v="7"/>
    <x v="1"/>
    <n v="4.5100000000000001E-2"/>
  </r>
  <r>
    <x v="0"/>
    <x v="7"/>
    <x v="6"/>
    <n v="6.3399999999999998E-2"/>
  </r>
  <r>
    <x v="0"/>
    <x v="7"/>
    <x v="7"/>
    <n v="6.3399999999999998E-2"/>
  </r>
  <r>
    <x v="0"/>
    <x v="7"/>
    <x v="2"/>
    <n v="2.2200000000000001E-2"/>
  </r>
  <r>
    <x v="0"/>
    <x v="7"/>
    <x v="3"/>
    <n v="5.4100000000000002E-2"/>
  </r>
  <r>
    <x v="0"/>
    <x v="8"/>
    <x v="0"/>
    <n v="5.5500000000000001E-2"/>
  </r>
  <r>
    <x v="0"/>
    <x v="8"/>
    <x v="1"/>
    <n v="4.5100000000000001E-2"/>
  </r>
  <r>
    <x v="0"/>
    <x v="8"/>
    <x v="6"/>
    <n v="6.3399999999999998E-2"/>
  </r>
  <r>
    <x v="0"/>
    <x v="8"/>
    <x v="7"/>
    <n v="6.3399999999999998E-2"/>
  </r>
  <r>
    <x v="0"/>
    <x v="8"/>
    <x v="2"/>
    <n v="2.2200000000000001E-2"/>
  </r>
  <r>
    <x v="0"/>
    <x v="8"/>
    <x v="3"/>
    <n v="5.3100000000000001E-2"/>
  </r>
  <r>
    <x v="1"/>
    <x v="0"/>
    <x v="0"/>
    <n v="5.1900000000000002E-2"/>
  </r>
  <r>
    <x v="1"/>
    <x v="0"/>
    <x v="1"/>
    <n v="3.6200000000000003E-2"/>
  </r>
  <r>
    <x v="1"/>
    <x v="0"/>
    <x v="2"/>
    <n v="2.23E-2"/>
  </r>
  <r>
    <x v="1"/>
    <x v="0"/>
    <x v="3"/>
    <n v="4.9500000000000002E-2"/>
  </r>
  <r>
    <x v="1"/>
    <x v="1"/>
    <x v="0"/>
    <n v="5.4100000000000002E-2"/>
  </r>
  <r>
    <x v="1"/>
    <x v="2"/>
    <x v="0"/>
    <n v="5.4100000000000002E-2"/>
  </r>
  <r>
    <x v="1"/>
    <x v="2"/>
    <x v="4"/>
    <n v="3.8800000000000001E-2"/>
  </r>
  <r>
    <x v="1"/>
    <x v="2"/>
    <x v="1"/>
    <n v="4.0899999999999999E-2"/>
  </r>
  <r>
    <x v="1"/>
    <x v="2"/>
    <x v="5"/>
    <n v="5.4100000000000002E-2"/>
  </r>
  <r>
    <x v="1"/>
    <x v="3"/>
    <x v="0"/>
    <n v="4.2500000000000003E-2"/>
  </r>
  <r>
    <x v="1"/>
    <x v="3"/>
    <x v="4"/>
    <n v="2.63E-2"/>
  </r>
  <r>
    <x v="1"/>
    <x v="3"/>
    <x v="1"/>
    <n v="3.6200000000000003E-2"/>
  </r>
  <r>
    <x v="1"/>
    <x v="3"/>
    <x v="5"/>
    <n v="4.3299999999999998E-2"/>
  </r>
  <r>
    <x v="1"/>
    <x v="4"/>
    <x v="0"/>
    <n v="4.4900000000000002E-2"/>
  </r>
  <r>
    <x v="1"/>
    <x v="4"/>
    <x v="4"/>
    <n v="2.5000000000000001E-2"/>
  </r>
  <r>
    <x v="1"/>
    <x v="4"/>
    <x v="1"/>
    <n v="3.7600000000000001E-2"/>
  </r>
  <r>
    <x v="1"/>
    <x v="4"/>
    <x v="5"/>
    <n v="4.1099999999999998E-2"/>
  </r>
  <r>
    <x v="1"/>
    <x v="5"/>
    <x v="0"/>
    <n v="4.8500000000000001E-2"/>
  </r>
  <r>
    <x v="1"/>
    <x v="5"/>
    <x v="4"/>
    <n v="3.15E-2"/>
  </r>
  <r>
    <x v="1"/>
    <x v="5"/>
    <x v="1"/>
    <n v="4.2099999999999999E-2"/>
  </r>
  <r>
    <x v="1"/>
    <x v="5"/>
    <x v="5"/>
    <n v="4.6899999999999997E-2"/>
  </r>
  <r>
    <x v="1"/>
    <x v="6"/>
    <x v="0"/>
    <n v="5.4100000000000002E-2"/>
  </r>
  <r>
    <x v="1"/>
    <x v="6"/>
    <x v="1"/>
    <n v="4.0899999999999999E-2"/>
  </r>
  <r>
    <x v="1"/>
    <x v="6"/>
    <x v="6"/>
    <n v="6.2600000000000003E-2"/>
  </r>
  <r>
    <x v="1"/>
    <x v="6"/>
    <x v="7"/>
    <n v="6.2600000000000003E-2"/>
  </r>
  <r>
    <x v="1"/>
    <x v="7"/>
    <x v="0"/>
    <n v="5.6099999999999997E-2"/>
  </r>
  <r>
    <x v="1"/>
    <x v="7"/>
    <x v="1"/>
    <n v="4.0899999999999999E-2"/>
  </r>
  <r>
    <x v="1"/>
    <x v="7"/>
    <x v="6"/>
    <n v="6.2600000000000003E-2"/>
  </r>
  <r>
    <x v="1"/>
    <x v="7"/>
    <x v="7"/>
    <n v="6.2600000000000003E-2"/>
  </r>
  <r>
    <x v="1"/>
    <x v="7"/>
    <x v="2"/>
    <n v="2.23E-2"/>
  </r>
  <r>
    <x v="1"/>
    <x v="7"/>
    <x v="3"/>
    <n v="5.3800000000000001E-2"/>
  </r>
  <r>
    <x v="1"/>
    <x v="8"/>
    <x v="0"/>
    <n v="5.5100000000000003E-2"/>
  </r>
  <r>
    <x v="1"/>
    <x v="8"/>
    <x v="1"/>
    <n v="4.0899999999999999E-2"/>
  </r>
  <r>
    <x v="1"/>
    <x v="8"/>
    <x v="6"/>
    <n v="6.2600000000000003E-2"/>
  </r>
  <r>
    <x v="1"/>
    <x v="8"/>
    <x v="7"/>
    <n v="6.2600000000000003E-2"/>
  </r>
  <r>
    <x v="1"/>
    <x v="8"/>
    <x v="2"/>
    <n v="2.23E-2"/>
  </r>
  <r>
    <x v="1"/>
    <x v="8"/>
    <x v="3"/>
    <n v="5.28E-2"/>
  </r>
  <r>
    <x v="2"/>
    <x v="0"/>
    <x v="0"/>
    <n v="5.1700000000000003E-2"/>
  </r>
  <r>
    <x v="2"/>
    <x v="0"/>
    <x v="1"/>
    <n v="4.1599999999999998E-2"/>
  </r>
  <r>
    <x v="2"/>
    <x v="0"/>
    <x v="2"/>
    <n v="2.2200000000000001E-2"/>
  </r>
  <r>
    <x v="2"/>
    <x v="0"/>
    <x v="3"/>
    <n v="4.9599999999999998E-2"/>
  </r>
  <r>
    <x v="2"/>
    <x v="1"/>
    <x v="0"/>
    <n v="5.3900000000000003E-2"/>
  </r>
  <r>
    <x v="2"/>
    <x v="2"/>
    <x v="0"/>
    <n v="5.3900000000000003E-2"/>
  </r>
  <r>
    <x v="2"/>
    <x v="2"/>
    <x v="4"/>
    <n v="3.8600000000000002E-2"/>
  </r>
  <r>
    <x v="2"/>
    <x v="2"/>
    <x v="1"/>
    <n v="4.6300000000000001E-2"/>
  </r>
  <r>
    <x v="2"/>
    <x v="2"/>
    <x v="5"/>
    <n v="5.2900000000000003E-2"/>
  </r>
  <r>
    <x v="2"/>
    <x v="3"/>
    <x v="0"/>
    <n v="4.2099999999999999E-2"/>
  </r>
  <r>
    <x v="2"/>
    <x v="3"/>
    <x v="4"/>
    <n v="2.6100000000000002E-2"/>
  </r>
  <r>
    <x v="2"/>
    <x v="3"/>
    <x v="1"/>
    <n v="4.1599999999999998E-2"/>
  </r>
  <r>
    <x v="2"/>
    <x v="3"/>
    <x v="5"/>
    <n v="4.2299999999999997E-2"/>
  </r>
  <r>
    <x v="2"/>
    <x v="4"/>
    <x v="0"/>
    <n v="4.4600000000000001E-2"/>
  </r>
  <r>
    <x v="2"/>
    <x v="4"/>
    <x v="4"/>
    <n v="2.47E-2"/>
  </r>
  <r>
    <x v="2"/>
    <x v="4"/>
    <x v="1"/>
    <n v="4.2999999999999997E-2"/>
  </r>
  <r>
    <x v="2"/>
    <x v="4"/>
    <x v="5"/>
    <n v="4.02E-2"/>
  </r>
  <r>
    <x v="2"/>
    <x v="5"/>
    <x v="0"/>
    <n v="4.82E-2"/>
  </r>
  <r>
    <x v="2"/>
    <x v="5"/>
    <x v="4"/>
    <n v="3.1300000000000001E-2"/>
  </r>
  <r>
    <x v="2"/>
    <x v="5"/>
    <x v="1"/>
    <n v="4.7600000000000003E-2"/>
  </r>
  <r>
    <x v="2"/>
    <x v="5"/>
    <x v="5"/>
    <n v="4.5900000000000003E-2"/>
  </r>
  <r>
    <x v="2"/>
    <x v="6"/>
    <x v="0"/>
    <n v="5.3900000000000003E-2"/>
  </r>
  <r>
    <x v="2"/>
    <x v="6"/>
    <x v="1"/>
    <n v="4.6300000000000001E-2"/>
  </r>
  <r>
    <x v="2"/>
    <x v="6"/>
    <x v="6"/>
    <n v="6.3E-2"/>
  </r>
  <r>
    <x v="2"/>
    <x v="6"/>
    <x v="7"/>
    <n v="6.3E-2"/>
  </r>
  <r>
    <x v="2"/>
    <x v="7"/>
    <x v="0"/>
    <n v="5.6099999999999997E-2"/>
  </r>
  <r>
    <x v="2"/>
    <x v="7"/>
    <x v="1"/>
    <n v="4.6300000000000001E-2"/>
  </r>
  <r>
    <x v="2"/>
    <x v="7"/>
    <x v="6"/>
    <n v="6.3E-2"/>
  </r>
  <r>
    <x v="2"/>
    <x v="7"/>
    <x v="7"/>
    <n v="6.3E-2"/>
  </r>
  <r>
    <x v="2"/>
    <x v="7"/>
    <x v="2"/>
    <n v="2.2200000000000001E-2"/>
  </r>
  <r>
    <x v="2"/>
    <x v="7"/>
    <x v="3"/>
    <n v="5.4100000000000002E-2"/>
  </r>
  <r>
    <x v="2"/>
    <x v="8"/>
    <x v="0"/>
    <n v="5.5E-2"/>
  </r>
  <r>
    <x v="2"/>
    <x v="8"/>
    <x v="1"/>
    <n v="4.6300000000000001E-2"/>
  </r>
  <r>
    <x v="2"/>
    <x v="8"/>
    <x v="6"/>
    <n v="6.3E-2"/>
  </r>
  <r>
    <x v="2"/>
    <x v="8"/>
    <x v="7"/>
    <n v="6.3E-2"/>
  </r>
  <r>
    <x v="2"/>
    <x v="8"/>
    <x v="2"/>
    <n v="2.2200000000000001E-2"/>
  </r>
  <r>
    <x v="2"/>
    <x v="8"/>
    <x v="3"/>
    <n v="5.2999999999999999E-2"/>
  </r>
  <r>
    <x v="3"/>
    <x v="0"/>
    <x v="0"/>
    <n v="5.1200000000000002E-2"/>
  </r>
  <r>
    <x v="3"/>
    <x v="0"/>
    <x v="1"/>
    <n v="3.7199999999999997E-2"/>
  </r>
  <r>
    <x v="3"/>
    <x v="0"/>
    <x v="2"/>
    <n v="2.2200000000000001E-2"/>
  </r>
  <r>
    <x v="3"/>
    <x v="0"/>
    <x v="3"/>
    <n v="4.9500000000000002E-2"/>
  </r>
  <r>
    <x v="3"/>
    <x v="1"/>
    <x v="0"/>
    <n v="5.33E-2"/>
  </r>
  <r>
    <x v="3"/>
    <x v="2"/>
    <x v="0"/>
    <n v="5.33E-2"/>
  </r>
  <r>
    <x v="3"/>
    <x v="2"/>
    <x v="4"/>
    <n v="3.8199999999999998E-2"/>
  </r>
  <r>
    <x v="3"/>
    <x v="2"/>
    <x v="1"/>
    <n v="4.1799999999999997E-2"/>
  </r>
  <r>
    <x v="3"/>
    <x v="2"/>
    <x v="5"/>
    <n v="5.3699999999999998E-2"/>
  </r>
  <r>
    <x v="3"/>
    <x v="3"/>
    <x v="0"/>
    <n v="4.1799999999999997E-2"/>
  </r>
  <r>
    <x v="3"/>
    <x v="3"/>
    <x v="4"/>
    <n v="2.5899999999999999E-2"/>
  </r>
  <r>
    <x v="3"/>
    <x v="3"/>
    <x v="1"/>
    <n v="3.7199999999999997E-2"/>
  </r>
  <r>
    <x v="3"/>
    <x v="3"/>
    <x v="5"/>
    <n v="4.2900000000000001E-2"/>
  </r>
  <r>
    <x v="3"/>
    <x v="4"/>
    <x v="0"/>
    <n v="4.4299999999999999E-2"/>
  </r>
  <r>
    <x v="3"/>
    <x v="4"/>
    <x v="4"/>
    <n v="2.46E-2"/>
  </r>
  <r>
    <x v="3"/>
    <x v="4"/>
    <x v="1"/>
    <n v="3.8600000000000002E-2"/>
  </r>
  <r>
    <x v="3"/>
    <x v="4"/>
    <x v="5"/>
    <n v="4.0800000000000003E-2"/>
  </r>
  <r>
    <x v="3"/>
    <x v="5"/>
    <x v="0"/>
    <n v="4.7800000000000002E-2"/>
  </r>
  <r>
    <x v="3"/>
    <x v="5"/>
    <x v="4"/>
    <n v="3.1E-2"/>
  </r>
  <r>
    <x v="3"/>
    <x v="5"/>
    <x v="1"/>
    <n v="4.2999999999999997E-2"/>
  </r>
  <r>
    <x v="3"/>
    <x v="5"/>
    <x v="5"/>
    <n v="4.65E-2"/>
  </r>
  <r>
    <x v="3"/>
    <x v="6"/>
    <x v="0"/>
    <n v="5.33E-2"/>
  </r>
  <r>
    <x v="3"/>
    <x v="6"/>
    <x v="1"/>
    <n v="4.1799999999999997E-2"/>
  </r>
  <r>
    <x v="3"/>
    <x v="6"/>
    <x v="6"/>
    <n v="6.2E-2"/>
  </r>
  <r>
    <x v="3"/>
    <x v="6"/>
    <x v="7"/>
    <n v="6.2E-2"/>
  </r>
  <r>
    <x v="3"/>
    <x v="7"/>
    <x v="0"/>
    <n v="5.5399999999999998E-2"/>
  </r>
  <r>
    <x v="3"/>
    <x v="7"/>
    <x v="1"/>
    <n v="4.1799999999999997E-2"/>
  </r>
  <r>
    <x v="3"/>
    <x v="7"/>
    <x v="6"/>
    <n v="6.2E-2"/>
  </r>
  <r>
    <x v="3"/>
    <x v="7"/>
    <x v="7"/>
    <n v="6.2E-2"/>
  </r>
  <r>
    <x v="3"/>
    <x v="7"/>
    <x v="2"/>
    <n v="2.2200000000000001E-2"/>
  </r>
  <r>
    <x v="3"/>
    <x v="7"/>
    <x v="3"/>
    <n v="5.3900000000000003E-2"/>
  </r>
  <r>
    <x v="3"/>
    <x v="8"/>
    <x v="0"/>
    <n v="5.4399999999999997E-2"/>
  </r>
  <r>
    <x v="3"/>
    <x v="8"/>
    <x v="1"/>
    <n v="4.1799999999999997E-2"/>
  </r>
  <r>
    <x v="3"/>
    <x v="8"/>
    <x v="6"/>
    <n v="6.2E-2"/>
  </r>
  <r>
    <x v="3"/>
    <x v="8"/>
    <x v="7"/>
    <n v="6.2E-2"/>
  </r>
  <r>
    <x v="3"/>
    <x v="8"/>
    <x v="2"/>
    <n v="2.2200000000000001E-2"/>
  </r>
  <r>
    <x v="3"/>
    <x v="8"/>
    <x v="3"/>
    <n v="5.28E-2"/>
  </r>
  <r>
    <x v="4"/>
    <x v="0"/>
    <x v="0"/>
    <n v="5.0799999999999998E-2"/>
  </r>
  <r>
    <x v="4"/>
    <x v="0"/>
    <x v="1"/>
    <n v="3.3599999999999998E-2"/>
  </r>
  <r>
    <x v="4"/>
    <x v="0"/>
    <x v="2"/>
    <n v="2.2200000000000001E-2"/>
  </r>
  <r>
    <x v="4"/>
    <x v="0"/>
    <x v="3"/>
    <n v="4.9200000000000001E-2"/>
  </r>
  <r>
    <x v="4"/>
    <x v="1"/>
    <x v="0"/>
    <n v="5.2900000000000003E-2"/>
  </r>
  <r>
    <x v="4"/>
    <x v="2"/>
    <x v="0"/>
    <n v="5.2900000000000003E-2"/>
  </r>
  <r>
    <x v="4"/>
    <x v="2"/>
    <x v="4"/>
    <n v="3.7900000000000003E-2"/>
  </r>
  <r>
    <x v="4"/>
    <x v="2"/>
    <x v="1"/>
    <n v="3.8100000000000002E-2"/>
  </r>
  <r>
    <x v="4"/>
    <x v="2"/>
    <x v="5"/>
    <n v="5.3999999999999999E-2"/>
  </r>
  <r>
    <x v="4"/>
    <x v="3"/>
    <x v="0"/>
    <n v="4.1799999999999997E-2"/>
  </r>
  <r>
    <x v="4"/>
    <x v="3"/>
    <x v="4"/>
    <n v="2.5899999999999999E-2"/>
  </r>
  <r>
    <x v="4"/>
    <x v="3"/>
    <x v="1"/>
    <n v="3.3599999999999998E-2"/>
  </r>
  <r>
    <x v="4"/>
    <x v="3"/>
    <x v="5"/>
    <n v="4.3200000000000002E-2"/>
  </r>
  <r>
    <x v="4"/>
    <x v="4"/>
    <x v="0"/>
    <n v="4.41E-2"/>
  </r>
  <r>
    <x v="4"/>
    <x v="4"/>
    <x v="4"/>
    <n v="2.46E-2"/>
  </r>
  <r>
    <x v="4"/>
    <x v="4"/>
    <x v="1"/>
    <n v="3.49E-2"/>
  </r>
  <r>
    <x v="4"/>
    <x v="4"/>
    <x v="5"/>
    <n v="4.1000000000000002E-2"/>
  </r>
  <r>
    <x v="4"/>
    <x v="5"/>
    <x v="0"/>
    <n v="4.7600000000000003E-2"/>
  </r>
  <r>
    <x v="4"/>
    <x v="5"/>
    <x v="4"/>
    <n v="3.09E-2"/>
  </r>
  <r>
    <x v="4"/>
    <x v="5"/>
    <x v="1"/>
    <n v="3.9199999999999999E-2"/>
  </r>
  <r>
    <x v="4"/>
    <x v="5"/>
    <x v="5"/>
    <n v="4.6800000000000001E-2"/>
  </r>
  <r>
    <x v="4"/>
    <x v="6"/>
    <x v="0"/>
    <n v="5.2900000000000003E-2"/>
  </r>
  <r>
    <x v="4"/>
    <x v="6"/>
    <x v="1"/>
    <n v="3.8100000000000002E-2"/>
  </r>
  <r>
    <x v="4"/>
    <x v="6"/>
    <x v="6"/>
    <n v="6.1100000000000002E-2"/>
  </r>
  <r>
    <x v="4"/>
    <x v="6"/>
    <x v="7"/>
    <n v="6.1100000000000002E-2"/>
  </r>
  <r>
    <x v="4"/>
    <x v="7"/>
    <x v="0"/>
    <n v="5.4899999999999997E-2"/>
  </r>
  <r>
    <x v="4"/>
    <x v="7"/>
    <x v="1"/>
    <n v="3.8100000000000002E-2"/>
  </r>
  <r>
    <x v="4"/>
    <x v="7"/>
    <x v="6"/>
    <n v="6.1100000000000002E-2"/>
  </r>
  <r>
    <x v="4"/>
    <x v="7"/>
    <x v="7"/>
    <n v="6.1100000000000002E-2"/>
  </r>
  <r>
    <x v="4"/>
    <x v="7"/>
    <x v="2"/>
    <n v="2.2200000000000001E-2"/>
  </r>
  <r>
    <x v="4"/>
    <x v="7"/>
    <x v="3"/>
    <n v="5.3499999999999999E-2"/>
  </r>
  <r>
    <x v="4"/>
    <x v="8"/>
    <x v="0"/>
    <n v="5.3999999999999999E-2"/>
  </r>
  <r>
    <x v="4"/>
    <x v="8"/>
    <x v="1"/>
    <n v="3.8100000000000002E-2"/>
  </r>
  <r>
    <x v="4"/>
    <x v="8"/>
    <x v="6"/>
    <n v="6.1100000000000002E-2"/>
  </r>
  <r>
    <x v="4"/>
    <x v="8"/>
    <x v="7"/>
    <n v="6.1100000000000002E-2"/>
  </r>
  <r>
    <x v="4"/>
    <x v="8"/>
    <x v="2"/>
    <n v="2.2200000000000001E-2"/>
  </r>
  <r>
    <x v="4"/>
    <x v="8"/>
    <x v="3"/>
    <n v="5.2499999999999998E-2"/>
  </r>
  <r>
    <x v="5"/>
    <x v="0"/>
    <x v="0"/>
    <n v="4.9700000000000001E-2"/>
  </r>
  <r>
    <x v="5"/>
    <x v="0"/>
    <x v="1"/>
    <n v="3.0300000000000001E-2"/>
  </r>
  <r>
    <x v="5"/>
    <x v="0"/>
    <x v="2"/>
    <n v="2.24E-2"/>
  </r>
  <r>
    <x v="5"/>
    <x v="0"/>
    <x v="3"/>
    <n v="4.8800000000000003E-2"/>
  </r>
  <r>
    <x v="5"/>
    <x v="1"/>
    <x v="0"/>
    <n v="5.1700000000000003E-2"/>
  </r>
  <r>
    <x v="5"/>
    <x v="2"/>
    <x v="0"/>
    <n v="5.1700000000000003E-2"/>
  </r>
  <r>
    <x v="5"/>
    <x v="2"/>
    <x v="4"/>
    <n v="3.6999999999999998E-2"/>
  </r>
  <r>
    <x v="5"/>
    <x v="2"/>
    <x v="1"/>
    <n v="3.4599999999999999E-2"/>
  </r>
  <r>
    <x v="5"/>
    <x v="2"/>
    <x v="5"/>
    <n v="5.3699999999999998E-2"/>
  </r>
  <r>
    <x v="5"/>
    <x v="3"/>
    <x v="0"/>
    <n v="4.1000000000000002E-2"/>
  </r>
  <r>
    <x v="5"/>
    <x v="3"/>
    <x v="4"/>
    <n v="2.5399999999999999E-2"/>
  </r>
  <r>
    <x v="5"/>
    <x v="3"/>
    <x v="1"/>
    <n v="3.0300000000000001E-2"/>
  </r>
  <r>
    <x v="5"/>
    <x v="3"/>
    <x v="5"/>
    <n v="4.2900000000000001E-2"/>
  </r>
  <r>
    <x v="5"/>
    <x v="4"/>
    <x v="0"/>
    <n v="4.3299999999999998E-2"/>
  </r>
  <r>
    <x v="5"/>
    <x v="4"/>
    <x v="4"/>
    <n v="2.4199999999999999E-2"/>
  </r>
  <r>
    <x v="5"/>
    <x v="4"/>
    <x v="1"/>
    <n v="3.15E-2"/>
  </r>
  <r>
    <x v="5"/>
    <x v="4"/>
    <x v="5"/>
    <n v="4.0800000000000003E-2"/>
  </r>
  <r>
    <x v="5"/>
    <x v="5"/>
    <x v="0"/>
    <n v="4.6600000000000003E-2"/>
  </r>
  <r>
    <x v="5"/>
    <x v="5"/>
    <x v="4"/>
    <n v="3.0300000000000001E-2"/>
  </r>
  <r>
    <x v="5"/>
    <x v="5"/>
    <x v="1"/>
    <n v="3.5700000000000003E-2"/>
  </r>
  <r>
    <x v="5"/>
    <x v="5"/>
    <x v="5"/>
    <n v="4.65E-2"/>
  </r>
  <r>
    <x v="5"/>
    <x v="6"/>
    <x v="0"/>
    <n v="5.1700000000000003E-2"/>
  </r>
  <r>
    <x v="5"/>
    <x v="6"/>
    <x v="1"/>
    <n v="3.4599999999999999E-2"/>
  </r>
  <r>
    <x v="5"/>
    <x v="6"/>
    <x v="6"/>
    <n v="5.9299999999999999E-2"/>
  </r>
  <r>
    <x v="5"/>
    <x v="6"/>
    <x v="7"/>
    <n v="5.9299999999999999E-2"/>
  </r>
  <r>
    <x v="5"/>
    <x v="7"/>
    <x v="0"/>
    <n v="5.3600000000000002E-2"/>
  </r>
  <r>
    <x v="5"/>
    <x v="7"/>
    <x v="1"/>
    <n v="3.4599999999999999E-2"/>
  </r>
  <r>
    <x v="5"/>
    <x v="7"/>
    <x v="6"/>
    <n v="5.9299999999999999E-2"/>
  </r>
  <r>
    <x v="5"/>
    <x v="7"/>
    <x v="7"/>
    <n v="5.9299999999999999E-2"/>
  </r>
  <r>
    <x v="5"/>
    <x v="7"/>
    <x v="2"/>
    <n v="2.24E-2"/>
  </r>
  <r>
    <x v="5"/>
    <x v="7"/>
    <x v="3"/>
    <n v="5.2999999999999999E-2"/>
  </r>
  <r>
    <x v="5"/>
    <x v="8"/>
    <x v="0"/>
    <n v="5.2699999999999997E-2"/>
  </r>
  <r>
    <x v="5"/>
    <x v="8"/>
    <x v="1"/>
    <n v="3.4599999999999999E-2"/>
  </r>
  <r>
    <x v="5"/>
    <x v="8"/>
    <x v="6"/>
    <n v="5.9299999999999999E-2"/>
  </r>
  <r>
    <x v="5"/>
    <x v="8"/>
    <x v="7"/>
    <n v="5.9299999999999999E-2"/>
  </r>
  <r>
    <x v="5"/>
    <x v="8"/>
    <x v="2"/>
    <n v="2.24E-2"/>
  </r>
  <r>
    <x v="5"/>
    <x v="8"/>
    <x v="3"/>
    <n v="5.1999999999999998E-2"/>
  </r>
  <r>
    <x v="6"/>
    <x v="0"/>
    <x v="0"/>
    <n v="5.0200000000000002E-2"/>
  </r>
  <r>
    <x v="6"/>
    <x v="0"/>
    <x v="1"/>
    <n v="3.3300000000000003E-2"/>
  </r>
  <r>
    <x v="6"/>
    <x v="0"/>
    <x v="2"/>
    <n v="2.2700000000000001E-2"/>
  </r>
  <r>
    <x v="6"/>
    <x v="0"/>
    <x v="3"/>
    <n v="4.5600000000000002E-2"/>
  </r>
  <r>
    <x v="6"/>
    <x v="1"/>
    <x v="0"/>
    <n v="5.2200000000000003E-2"/>
  </r>
  <r>
    <x v="6"/>
    <x v="2"/>
    <x v="0"/>
    <n v="5.2200000000000003E-2"/>
  </r>
  <r>
    <x v="6"/>
    <x v="2"/>
    <x v="4"/>
    <n v="3.7400000000000003E-2"/>
  </r>
  <r>
    <x v="6"/>
    <x v="2"/>
    <x v="1"/>
    <n v="3.7600000000000001E-2"/>
  </r>
  <r>
    <x v="6"/>
    <x v="2"/>
    <x v="5"/>
    <n v="5.4399999999999997E-2"/>
  </r>
  <r>
    <x v="6"/>
    <x v="3"/>
    <x v="0"/>
    <n v="4.1300000000000003E-2"/>
  </r>
  <r>
    <x v="6"/>
    <x v="3"/>
    <x v="4"/>
    <n v="2.5600000000000001E-2"/>
  </r>
  <r>
    <x v="6"/>
    <x v="3"/>
    <x v="1"/>
    <n v="3.3300000000000003E-2"/>
  </r>
  <r>
    <x v="6"/>
    <x v="3"/>
    <x v="5"/>
    <n v="4.3499999999999997E-2"/>
  </r>
  <r>
    <x v="6"/>
    <x v="4"/>
    <x v="0"/>
    <n v="4.36E-2"/>
  </r>
  <r>
    <x v="6"/>
    <x v="4"/>
    <x v="4"/>
    <n v="2.4400000000000002E-2"/>
  </r>
  <r>
    <x v="6"/>
    <x v="4"/>
    <x v="1"/>
    <n v="3.4599999999999999E-2"/>
  </r>
  <r>
    <x v="6"/>
    <x v="4"/>
    <x v="5"/>
    <n v="4.1300000000000003E-2"/>
  </r>
  <r>
    <x v="6"/>
    <x v="5"/>
    <x v="0"/>
    <n v="4.7E-2"/>
  </r>
  <r>
    <x v="6"/>
    <x v="5"/>
    <x v="4"/>
    <n v="3.0499999999999999E-2"/>
  </r>
  <r>
    <x v="6"/>
    <x v="5"/>
    <x v="1"/>
    <n v="3.8800000000000001E-2"/>
  </r>
  <r>
    <x v="6"/>
    <x v="5"/>
    <x v="5"/>
    <n v="4.7100000000000003E-2"/>
  </r>
  <r>
    <x v="6"/>
    <x v="6"/>
    <x v="0"/>
    <n v="5.2200000000000003E-2"/>
  </r>
  <r>
    <x v="6"/>
    <x v="6"/>
    <x v="1"/>
    <n v="3.7600000000000001E-2"/>
  </r>
  <r>
    <x v="6"/>
    <x v="6"/>
    <x v="6"/>
    <n v="0.06"/>
  </r>
  <r>
    <x v="6"/>
    <x v="6"/>
    <x v="7"/>
    <n v="0.06"/>
  </r>
  <r>
    <x v="6"/>
    <x v="7"/>
    <x v="0"/>
    <n v="5.4100000000000002E-2"/>
  </r>
  <r>
    <x v="6"/>
    <x v="7"/>
    <x v="1"/>
    <n v="3.7600000000000001E-2"/>
  </r>
  <r>
    <x v="6"/>
    <x v="7"/>
    <x v="6"/>
    <n v="0.06"/>
  </r>
  <r>
    <x v="6"/>
    <x v="7"/>
    <x v="7"/>
    <n v="0.06"/>
  </r>
  <r>
    <x v="6"/>
    <x v="7"/>
    <x v="2"/>
    <n v="2.2700000000000001E-2"/>
  </r>
  <r>
    <x v="6"/>
    <x v="7"/>
    <x v="3"/>
    <n v="4.9599999999999998E-2"/>
  </r>
  <r>
    <x v="6"/>
    <x v="8"/>
    <x v="0"/>
    <n v="5.3199999999999997E-2"/>
  </r>
  <r>
    <x v="6"/>
    <x v="8"/>
    <x v="1"/>
    <n v="3.7600000000000001E-2"/>
  </r>
  <r>
    <x v="6"/>
    <x v="8"/>
    <x v="6"/>
    <n v="0.06"/>
  </r>
  <r>
    <x v="6"/>
    <x v="8"/>
    <x v="7"/>
    <n v="0.06"/>
  </r>
  <r>
    <x v="6"/>
    <x v="8"/>
    <x v="2"/>
    <n v="2.2700000000000001E-2"/>
  </r>
  <r>
    <x v="6"/>
    <x v="8"/>
    <x v="3"/>
    <n v="4.8599999999999997E-2"/>
  </r>
  <r>
    <x v="7"/>
    <x v="0"/>
    <x v="0"/>
    <n v="4.9299999999999997E-2"/>
  </r>
  <r>
    <x v="7"/>
    <x v="0"/>
    <x v="1"/>
    <n v="3.5099999999999999E-2"/>
  </r>
  <r>
    <x v="7"/>
    <x v="0"/>
    <x v="2"/>
    <n v="2.2700000000000001E-2"/>
  </r>
  <r>
    <x v="7"/>
    <x v="0"/>
    <x v="3"/>
    <n v="4.7899999999999998E-2"/>
  </r>
  <r>
    <x v="7"/>
    <x v="1"/>
    <x v="0"/>
    <n v="5.1299999999999998E-2"/>
  </r>
  <r>
    <x v="7"/>
    <x v="2"/>
    <x v="0"/>
    <n v="5.1299999999999998E-2"/>
  </r>
  <r>
    <x v="7"/>
    <x v="2"/>
    <x v="4"/>
    <n v="3.6700000000000003E-2"/>
  </r>
  <r>
    <x v="7"/>
    <x v="2"/>
    <x v="1"/>
    <n v="3.9399999999999998E-2"/>
  </r>
  <r>
    <x v="7"/>
    <x v="2"/>
    <x v="5"/>
    <n v="5.4300000000000001E-2"/>
  </r>
  <r>
    <x v="7"/>
    <x v="3"/>
    <x v="0"/>
    <n v="4.0599999999999997E-2"/>
  </r>
  <r>
    <x v="7"/>
    <x v="3"/>
    <x v="4"/>
    <n v="2.52E-2"/>
  </r>
  <r>
    <x v="7"/>
    <x v="3"/>
    <x v="1"/>
    <n v="3.5099999999999999E-2"/>
  </r>
  <r>
    <x v="7"/>
    <x v="3"/>
    <x v="5"/>
    <n v="4.3499999999999997E-2"/>
  </r>
  <r>
    <x v="7"/>
    <x v="4"/>
    <x v="0"/>
    <n v="4.36E-2"/>
  </r>
  <r>
    <x v="7"/>
    <x v="4"/>
    <x v="4"/>
    <n v="2.4400000000000002E-2"/>
  </r>
  <r>
    <x v="7"/>
    <x v="4"/>
    <x v="1"/>
    <n v="3.4599999999999999E-2"/>
  </r>
  <r>
    <x v="7"/>
    <x v="4"/>
    <x v="5"/>
    <n v="4.1300000000000003E-2"/>
  </r>
  <r>
    <x v="7"/>
    <x v="5"/>
    <x v="0"/>
    <n v="4.7E-2"/>
  </r>
  <r>
    <x v="7"/>
    <x v="5"/>
    <x v="4"/>
    <n v="3.0499999999999999E-2"/>
  </r>
  <r>
    <x v="7"/>
    <x v="5"/>
    <x v="1"/>
    <n v="3.8800000000000001E-2"/>
  </r>
  <r>
    <x v="7"/>
    <x v="5"/>
    <x v="5"/>
    <n v="4.7100000000000003E-2"/>
  </r>
  <r>
    <x v="7"/>
    <x v="6"/>
    <x v="0"/>
    <n v="5.1299999999999998E-2"/>
  </r>
  <r>
    <x v="7"/>
    <x v="6"/>
    <x v="1"/>
    <n v="3.9399999999999998E-2"/>
  </r>
  <r>
    <x v="7"/>
    <x v="6"/>
    <x v="6"/>
    <n v="5.8999999999999997E-2"/>
  </r>
  <r>
    <x v="7"/>
    <x v="6"/>
    <x v="7"/>
    <n v="5.8999999999999997E-2"/>
  </r>
  <r>
    <x v="7"/>
    <x v="7"/>
    <x v="0"/>
    <n v="5.3199999999999997E-2"/>
  </r>
  <r>
    <x v="7"/>
    <x v="7"/>
    <x v="1"/>
    <n v="3.9399999999999998E-2"/>
  </r>
  <r>
    <x v="7"/>
    <x v="7"/>
    <x v="6"/>
    <n v="5.8999999999999997E-2"/>
  </r>
  <r>
    <x v="7"/>
    <x v="7"/>
    <x v="7"/>
    <n v="5.8999999999999997E-2"/>
  </r>
  <r>
    <x v="7"/>
    <x v="7"/>
    <x v="2"/>
    <n v="2.2700000000000001E-2"/>
  </r>
  <r>
    <x v="7"/>
    <x v="7"/>
    <x v="3"/>
    <n v="5.1999999999999998E-2"/>
  </r>
  <r>
    <x v="7"/>
    <x v="8"/>
    <x v="0"/>
    <n v="5.2299999999999999E-2"/>
  </r>
  <r>
    <x v="7"/>
    <x v="8"/>
    <x v="1"/>
    <n v="3.9399999999999998E-2"/>
  </r>
  <r>
    <x v="7"/>
    <x v="8"/>
    <x v="6"/>
    <n v="5.8999999999999997E-2"/>
  </r>
  <r>
    <x v="7"/>
    <x v="8"/>
    <x v="7"/>
    <n v="5.8999999999999997E-2"/>
  </r>
  <r>
    <x v="7"/>
    <x v="8"/>
    <x v="2"/>
    <n v="2.2700000000000001E-2"/>
  </r>
  <r>
    <x v="7"/>
    <x v="8"/>
    <x v="3"/>
    <n v="5.0999999999999997E-2"/>
  </r>
  <r>
    <x v="8"/>
    <x v="0"/>
    <x v="0"/>
    <n v="4.9799999999999997E-2"/>
  </r>
  <r>
    <x v="8"/>
    <x v="0"/>
    <x v="1"/>
    <n v="3.8399999999999997E-2"/>
  </r>
  <r>
    <x v="8"/>
    <x v="0"/>
    <x v="2"/>
    <n v="2.2499999999999999E-2"/>
  </r>
  <r>
    <x v="8"/>
    <x v="0"/>
    <x v="3"/>
    <n v="4.8099999999999997E-2"/>
  </r>
  <r>
    <x v="8"/>
    <x v="1"/>
    <x v="0"/>
    <n v="5.1900000000000002E-2"/>
  </r>
  <r>
    <x v="8"/>
    <x v="2"/>
    <x v="0"/>
    <n v="5.1900000000000002E-2"/>
  </r>
  <r>
    <x v="8"/>
    <x v="2"/>
    <x v="4"/>
    <n v="3.7100000000000001E-2"/>
  </r>
  <r>
    <x v="8"/>
    <x v="2"/>
    <x v="1"/>
    <n v="4.2799999999999998E-2"/>
  </r>
  <r>
    <x v="8"/>
    <x v="2"/>
    <x v="5"/>
    <n v="5.3900000000000003E-2"/>
  </r>
  <r>
    <x v="8"/>
    <x v="3"/>
    <x v="0"/>
    <n v="4.0899999999999999E-2"/>
  </r>
  <r>
    <x v="8"/>
    <x v="3"/>
    <x v="4"/>
    <n v="2.5399999999999999E-2"/>
  </r>
  <r>
    <x v="8"/>
    <x v="3"/>
    <x v="1"/>
    <n v="3.8399999999999997E-2"/>
  </r>
  <r>
    <x v="8"/>
    <x v="3"/>
    <x v="5"/>
    <n v="4.3099999999999999E-2"/>
  </r>
  <r>
    <x v="8"/>
    <x v="4"/>
    <x v="0"/>
    <n v="4.36E-2"/>
  </r>
  <r>
    <x v="8"/>
    <x v="4"/>
    <x v="4"/>
    <n v="2.4400000000000002E-2"/>
  </r>
  <r>
    <x v="8"/>
    <x v="4"/>
    <x v="1"/>
    <n v="3.4599999999999999E-2"/>
  </r>
  <r>
    <x v="8"/>
    <x v="4"/>
    <x v="5"/>
    <n v="4.1300000000000003E-2"/>
  </r>
  <r>
    <x v="8"/>
    <x v="5"/>
    <x v="0"/>
    <n v="4.7E-2"/>
  </r>
  <r>
    <x v="8"/>
    <x v="5"/>
    <x v="4"/>
    <n v="3.0499999999999999E-2"/>
  </r>
  <r>
    <x v="8"/>
    <x v="5"/>
    <x v="1"/>
    <n v="3.8800000000000001E-2"/>
  </r>
  <r>
    <x v="8"/>
    <x v="5"/>
    <x v="5"/>
    <n v="4.7100000000000003E-2"/>
  </r>
  <r>
    <x v="8"/>
    <x v="6"/>
    <x v="0"/>
    <n v="5.1900000000000002E-2"/>
  </r>
  <r>
    <x v="8"/>
    <x v="6"/>
    <x v="1"/>
    <n v="4.2799999999999998E-2"/>
  </r>
  <r>
    <x v="8"/>
    <x v="6"/>
    <x v="6"/>
    <n v="0.06"/>
  </r>
  <r>
    <x v="8"/>
    <x v="6"/>
    <x v="7"/>
    <n v="0.06"/>
  </r>
  <r>
    <x v="8"/>
    <x v="7"/>
    <x v="0"/>
    <n v="5.4800000000000001E-2"/>
  </r>
  <r>
    <x v="8"/>
    <x v="7"/>
    <x v="1"/>
    <n v="4.2799999999999998E-2"/>
  </r>
  <r>
    <x v="8"/>
    <x v="7"/>
    <x v="6"/>
    <n v="0.06"/>
  </r>
  <r>
    <x v="8"/>
    <x v="7"/>
    <x v="7"/>
    <n v="0.06"/>
  </r>
  <r>
    <x v="8"/>
    <x v="7"/>
    <x v="2"/>
    <n v="2.2499999999999999E-2"/>
  </r>
  <r>
    <x v="8"/>
    <x v="7"/>
    <x v="3"/>
    <n v="5.33E-2"/>
  </r>
  <r>
    <x v="8"/>
    <x v="8"/>
    <x v="0"/>
    <n v="5.4800000000000001E-2"/>
  </r>
  <r>
    <x v="8"/>
    <x v="8"/>
    <x v="1"/>
    <n v="4.2799999999999998E-2"/>
  </r>
  <r>
    <x v="8"/>
    <x v="8"/>
    <x v="6"/>
    <n v="0.06"/>
  </r>
  <r>
    <x v="8"/>
    <x v="8"/>
    <x v="7"/>
    <n v="0.06"/>
  </r>
  <r>
    <x v="8"/>
    <x v="8"/>
    <x v="2"/>
    <n v="2.2499999999999999E-2"/>
  </r>
  <r>
    <x v="8"/>
    <x v="8"/>
    <x v="3"/>
    <n v="5.33E-2"/>
  </r>
  <r>
    <x v="9"/>
    <x v="0"/>
    <x v="0"/>
    <n v="4.9000000000000002E-2"/>
  </r>
  <r>
    <x v="9"/>
    <x v="0"/>
    <x v="1"/>
    <n v="3.1800000000000002E-2"/>
  </r>
  <r>
    <x v="9"/>
    <x v="0"/>
    <x v="2"/>
    <n v="2.2499999999999999E-2"/>
  </r>
  <r>
    <x v="9"/>
    <x v="0"/>
    <x v="3"/>
    <n v="4.7399999999999998E-2"/>
  </r>
  <r>
    <x v="9"/>
    <x v="1"/>
    <x v="0"/>
    <n v="5.0999999999999997E-2"/>
  </r>
  <r>
    <x v="9"/>
    <x v="2"/>
    <x v="0"/>
    <n v="5.0999999999999997E-2"/>
  </r>
  <r>
    <x v="9"/>
    <x v="2"/>
    <x v="4"/>
    <n v="3.6499999999999998E-2"/>
  </r>
  <r>
    <x v="9"/>
    <x v="2"/>
    <x v="1"/>
    <n v="3.5999999999999997E-2"/>
  </r>
  <r>
    <x v="9"/>
    <x v="2"/>
    <x v="5"/>
    <n v="5.5300000000000002E-2"/>
  </r>
  <r>
    <x v="9"/>
    <x v="3"/>
    <x v="0"/>
    <n v="4.0399999999999998E-2"/>
  </r>
  <r>
    <x v="9"/>
    <x v="3"/>
    <x v="4"/>
    <n v="2.5100000000000001E-2"/>
  </r>
  <r>
    <x v="9"/>
    <x v="3"/>
    <x v="1"/>
    <n v="3.1800000000000002E-2"/>
  </r>
  <r>
    <x v="9"/>
    <x v="3"/>
    <x v="5"/>
    <n v="4.4200000000000003E-2"/>
  </r>
  <r>
    <x v="9"/>
    <x v="4"/>
    <x v="0"/>
    <n v="4.36E-2"/>
  </r>
  <r>
    <x v="9"/>
    <x v="4"/>
    <x v="4"/>
    <n v="2.4400000000000002E-2"/>
  </r>
  <r>
    <x v="9"/>
    <x v="4"/>
    <x v="1"/>
    <n v="3.4599999999999999E-2"/>
  </r>
  <r>
    <x v="9"/>
    <x v="4"/>
    <x v="5"/>
    <n v="4.1300000000000003E-2"/>
  </r>
  <r>
    <x v="9"/>
    <x v="5"/>
    <x v="0"/>
    <n v="4.7E-2"/>
  </r>
  <r>
    <x v="9"/>
    <x v="5"/>
    <x v="4"/>
    <n v="3.0499999999999999E-2"/>
  </r>
  <r>
    <x v="9"/>
    <x v="5"/>
    <x v="1"/>
    <n v="3.8800000000000001E-2"/>
  </r>
  <r>
    <x v="9"/>
    <x v="5"/>
    <x v="5"/>
    <n v="4.7100000000000003E-2"/>
  </r>
  <r>
    <x v="9"/>
    <x v="6"/>
    <x v="0"/>
    <n v="5.0999999999999997E-2"/>
  </r>
  <r>
    <x v="9"/>
    <x v="6"/>
    <x v="1"/>
    <n v="3.5999999999999997E-2"/>
  </r>
  <r>
    <x v="9"/>
    <x v="6"/>
    <x v="6"/>
    <n v="5.8500000000000003E-2"/>
  </r>
  <r>
    <x v="9"/>
    <x v="6"/>
    <x v="7"/>
    <n v="5.8500000000000003E-2"/>
  </r>
  <r>
    <x v="9"/>
    <x v="7"/>
    <x v="0"/>
    <n v="5.28E-2"/>
  </r>
  <r>
    <x v="9"/>
    <x v="7"/>
    <x v="1"/>
    <n v="3.5999999999999997E-2"/>
  </r>
  <r>
    <x v="9"/>
    <x v="7"/>
    <x v="6"/>
    <n v="5.8500000000000003E-2"/>
  </r>
  <r>
    <x v="9"/>
    <x v="7"/>
    <x v="7"/>
    <n v="5.8500000000000003E-2"/>
  </r>
  <r>
    <x v="9"/>
    <x v="7"/>
    <x v="2"/>
    <n v="2.2499999999999999E-2"/>
  </r>
  <r>
    <x v="9"/>
    <x v="7"/>
    <x v="3"/>
    <n v="5.1400000000000001E-2"/>
  </r>
  <r>
    <x v="9"/>
    <x v="8"/>
    <x v="0"/>
    <n v="5.1900000000000002E-2"/>
  </r>
  <r>
    <x v="9"/>
    <x v="8"/>
    <x v="1"/>
    <n v="3.5999999999999997E-2"/>
  </r>
  <r>
    <x v="9"/>
    <x v="8"/>
    <x v="6"/>
    <n v="5.8500000000000003E-2"/>
  </r>
  <r>
    <x v="9"/>
    <x v="8"/>
    <x v="7"/>
    <n v="5.8500000000000003E-2"/>
  </r>
  <r>
    <x v="9"/>
    <x v="8"/>
    <x v="2"/>
    <n v="2.2499999999999999E-2"/>
  </r>
  <r>
    <x v="9"/>
    <x v="8"/>
    <x v="3"/>
    <n v="5.04E-2"/>
  </r>
  <r>
    <x v="10"/>
    <x v="0"/>
    <x v="0"/>
    <n v="4.9599999999999998E-2"/>
  </r>
  <r>
    <x v="10"/>
    <x v="0"/>
    <x v="1"/>
    <n v="3.1099999999999999E-2"/>
  </r>
  <r>
    <x v="10"/>
    <x v="0"/>
    <x v="2"/>
    <n v="2.2800000000000001E-2"/>
  </r>
  <r>
    <x v="10"/>
    <x v="0"/>
    <x v="3"/>
    <n v="4.7899999999999998E-2"/>
  </r>
  <r>
    <x v="10"/>
    <x v="9"/>
    <x v="0"/>
    <n v="5.0599999999999999E-2"/>
  </r>
  <r>
    <x v="10"/>
    <x v="9"/>
    <x v="1"/>
    <n v="3.1099999999999999E-2"/>
  </r>
  <r>
    <x v="10"/>
    <x v="9"/>
    <x v="2"/>
    <n v="2.2800000000000001E-2"/>
  </r>
  <r>
    <x v="10"/>
    <x v="9"/>
    <x v="3"/>
    <n v="4.9000000000000002E-2"/>
  </r>
  <r>
    <x v="10"/>
    <x v="1"/>
    <x v="0"/>
    <n v="5.1499999999999997E-2"/>
  </r>
  <r>
    <x v="10"/>
    <x v="2"/>
    <x v="0"/>
    <n v="5.1499999999999997E-2"/>
  </r>
  <r>
    <x v="10"/>
    <x v="2"/>
    <x v="4"/>
    <n v="3.6900000000000002E-2"/>
  </r>
  <r>
    <x v="10"/>
    <x v="2"/>
    <x v="1"/>
    <n v="3.5400000000000001E-2"/>
  </r>
  <r>
    <x v="10"/>
    <x v="2"/>
    <x v="5"/>
    <n v="5.5100000000000003E-2"/>
  </r>
  <r>
    <x v="10"/>
    <x v="3"/>
    <x v="0"/>
    <n v="4.0899999999999999E-2"/>
  </r>
  <r>
    <x v="10"/>
    <x v="3"/>
    <x v="4"/>
    <n v="3.4700000000000002E-2"/>
  </r>
  <r>
    <x v="10"/>
    <x v="3"/>
    <x v="1"/>
    <n v="3.1099999999999999E-2"/>
  </r>
  <r>
    <x v="10"/>
    <x v="3"/>
    <x v="5"/>
    <n v="4.41E-2"/>
  </r>
  <r>
    <x v="10"/>
    <x v="4"/>
    <x v="0"/>
    <n v="4.3200000000000002E-2"/>
  </r>
  <r>
    <x v="10"/>
    <x v="4"/>
    <x v="4"/>
    <n v="2.4199999999999999E-2"/>
  </r>
  <r>
    <x v="10"/>
    <x v="4"/>
    <x v="1"/>
    <n v="3.2399999999999998E-2"/>
  </r>
  <r>
    <x v="10"/>
    <x v="4"/>
    <x v="5"/>
    <n v="4.19E-2"/>
  </r>
  <r>
    <x v="10"/>
    <x v="5"/>
    <x v="0"/>
    <n v="4.65E-2"/>
  </r>
  <r>
    <x v="10"/>
    <x v="5"/>
    <x v="4"/>
    <n v="3.0200000000000001E-2"/>
  </r>
  <r>
    <x v="10"/>
    <x v="5"/>
    <x v="1"/>
    <n v="3.6499999999999998E-2"/>
  </r>
  <r>
    <x v="10"/>
    <x v="5"/>
    <x v="5"/>
    <n v="4.7699999999999999E-2"/>
  </r>
  <r>
    <x v="10"/>
    <x v="6"/>
    <x v="0"/>
    <n v="5.1499999999999997E-2"/>
  </r>
  <r>
    <x v="10"/>
    <x v="6"/>
    <x v="1"/>
    <n v="3.5400000000000001E-2"/>
  </r>
  <r>
    <x v="10"/>
    <x v="6"/>
    <x v="6"/>
    <n v="5.8999999999999997E-2"/>
  </r>
  <r>
    <x v="10"/>
    <x v="6"/>
    <x v="7"/>
    <n v="5.8999999999999997E-2"/>
  </r>
  <r>
    <x v="10"/>
    <x v="7"/>
    <x v="0"/>
    <n v="5.3400000000000003E-2"/>
  </r>
  <r>
    <x v="10"/>
    <x v="7"/>
    <x v="1"/>
    <n v="3.5400000000000001E-2"/>
  </r>
  <r>
    <x v="10"/>
    <x v="7"/>
    <x v="6"/>
    <n v="5.8999999999999997E-2"/>
  </r>
  <r>
    <x v="10"/>
    <x v="7"/>
    <x v="7"/>
    <n v="5.8999999999999997E-2"/>
  </r>
  <r>
    <x v="10"/>
    <x v="7"/>
    <x v="2"/>
    <n v="2.2800000000000001E-2"/>
  </r>
  <r>
    <x v="10"/>
    <x v="7"/>
    <x v="3"/>
    <n v="5.1999999999999998E-2"/>
  </r>
  <r>
    <x v="10"/>
    <x v="8"/>
    <x v="0"/>
    <n v="5.2499999999999998E-2"/>
  </r>
  <r>
    <x v="10"/>
    <x v="8"/>
    <x v="1"/>
    <n v="3.5400000000000001E-2"/>
  </r>
  <r>
    <x v="10"/>
    <x v="8"/>
    <x v="6"/>
    <n v="5.8999999999999997E-2"/>
  </r>
  <r>
    <x v="10"/>
    <x v="8"/>
    <x v="7"/>
    <n v="5.8999999999999997E-2"/>
  </r>
  <r>
    <x v="10"/>
    <x v="8"/>
    <x v="2"/>
    <n v="2.2800000000000001E-2"/>
  </r>
  <r>
    <x v="10"/>
    <x v="8"/>
    <x v="3"/>
    <n v="5.0999999999999997E-2"/>
  </r>
  <r>
    <x v="11"/>
    <x v="0"/>
    <x v="0"/>
    <n v="4.9000000000000002E-2"/>
  </r>
  <r>
    <x v="11"/>
    <x v="0"/>
    <x v="1"/>
    <n v="3.0300000000000001E-2"/>
  </r>
  <r>
    <x v="11"/>
    <x v="0"/>
    <x v="2"/>
    <n v="5.5199999999999999E-2"/>
  </r>
  <r>
    <x v="11"/>
    <x v="0"/>
    <x v="3"/>
    <n v="4.7100000000000003E-2"/>
  </r>
  <r>
    <x v="11"/>
    <x v="9"/>
    <x v="0"/>
    <n v="4.99E-2"/>
  </r>
  <r>
    <x v="11"/>
    <x v="9"/>
    <x v="1"/>
    <n v="3.0300000000000001E-2"/>
  </r>
  <r>
    <x v="11"/>
    <x v="9"/>
    <x v="2"/>
    <n v="2.29E-2"/>
  </r>
  <r>
    <x v="11"/>
    <x v="9"/>
    <x v="3"/>
    <n v="4.82E-2"/>
  </r>
  <r>
    <x v="11"/>
    <x v="1"/>
    <x v="0"/>
    <n v="5.0900000000000001E-2"/>
  </r>
  <r>
    <x v="11"/>
    <x v="2"/>
    <x v="0"/>
    <n v="5.0900000000000001E-2"/>
  </r>
  <r>
    <x v="11"/>
    <x v="2"/>
    <x v="4"/>
    <n v="3.6400000000000002E-2"/>
  </r>
  <r>
    <x v="11"/>
    <x v="2"/>
    <x v="1"/>
    <n v="3.44E-2"/>
  </r>
  <r>
    <x v="11"/>
    <x v="2"/>
    <x v="5"/>
    <n v="5.4899999999999997E-2"/>
  </r>
  <r>
    <x v="11"/>
    <x v="3"/>
    <x v="0"/>
    <n v="4.0500000000000001E-2"/>
  </r>
  <r>
    <x v="11"/>
    <x v="3"/>
    <x v="4"/>
    <n v="3.4299999999999997E-2"/>
  </r>
  <r>
    <x v="11"/>
    <x v="3"/>
    <x v="1"/>
    <n v="3.0300000000000001E-2"/>
  </r>
  <r>
    <x v="11"/>
    <x v="3"/>
    <x v="5"/>
    <n v="4.3900000000000002E-2"/>
  </r>
  <r>
    <x v="11"/>
    <x v="4"/>
    <x v="0"/>
    <n v="4.2700000000000002E-2"/>
  </r>
  <r>
    <x v="11"/>
    <x v="4"/>
    <x v="4"/>
    <n v="2.3900000000000001E-2"/>
  </r>
  <r>
    <x v="11"/>
    <x v="4"/>
    <x v="1"/>
    <n v="3.15E-2"/>
  </r>
  <r>
    <x v="11"/>
    <x v="4"/>
    <x v="5"/>
    <n v="4.1700000000000001E-2"/>
  </r>
  <r>
    <x v="11"/>
    <x v="5"/>
    <x v="0"/>
    <n v="4.5900000000000003E-2"/>
  </r>
  <r>
    <x v="11"/>
    <x v="5"/>
    <x v="4"/>
    <n v="2.9899999999999999E-2"/>
  </r>
  <r>
    <x v="11"/>
    <x v="5"/>
    <x v="1"/>
    <n v="3.5499999999999997E-2"/>
  </r>
  <r>
    <x v="11"/>
    <x v="5"/>
    <x v="5"/>
    <n v="4.7500000000000001E-2"/>
  </r>
  <r>
    <x v="11"/>
    <x v="6"/>
    <x v="0"/>
    <n v="5.0900000000000001E-2"/>
  </r>
  <r>
    <x v="11"/>
    <x v="6"/>
    <x v="1"/>
    <n v="3.44E-2"/>
  </r>
  <r>
    <x v="11"/>
    <x v="6"/>
    <x v="6"/>
    <n v="5.8099999999999999E-2"/>
  </r>
  <r>
    <x v="11"/>
    <x v="6"/>
    <x v="7"/>
    <n v="5.8099999999999999E-2"/>
  </r>
  <r>
    <x v="11"/>
    <x v="7"/>
    <x v="0"/>
    <n v="5.2699999999999997E-2"/>
  </r>
  <r>
    <x v="11"/>
    <x v="7"/>
    <x v="1"/>
    <n v="3.44E-2"/>
  </r>
  <r>
    <x v="11"/>
    <x v="7"/>
    <x v="6"/>
    <n v="5.8099999999999999E-2"/>
  </r>
  <r>
    <x v="11"/>
    <x v="7"/>
    <x v="7"/>
    <n v="5.8099999999999999E-2"/>
  </r>
  <r>
    <x v="11"/>
    <x v="7"/>
    <x v="2"/>
    <n v="2.29E-2"/>
  </r>
  <r>
    <x v="11"/>
    <x v="7"/>
    <x v="3"/>
    <n v="5.11E-2"/>
  </r>
  <r>
    <x v="11"/>
    <x v="8"/>
    <x v="0"/>
    <n v="5.1799999999999999E-2"/>
  </r>
  <r>
    <x v="11"/>
    <x v="8"/>
    <x v="1"/>
    <n v="3.44E-2"/>
  </r>
  <r>
    <x v="11"/>
    <x v="8"/>
    <x v="6"/>
    <n v="5.8099999999999999E-2"/>
  </r>
  <r>
    <x v="11"/>
    <x v="8"/>
    <x v="7"/>
    <n v="5.8099999999999999E-2"/>
  </r>
  <r>
    <x v="11"/>
    <x v="8"/>
    <x v="2"/>
    <n v="2.29E-2"/>
  </r>
  <r>
    <x v="11"/>
    <x v="8"/>
    <x v="3"/>
    <n v="5.0200000000000002E-2"/>
  </r>
  <r>
    <x v="12"/>
    <x v="0"/>
    <x v="0"/>
    <n v="5.0900000000000001E-2"/>
  </r>
  <r>
    <x v="12"/>
    <x v="0"/>
    <x v="1"/>
    <n v="2.98E-2"/>
  </r>
  <r>
    <x v="12"/>
    <x v="0"/>
    <x v="2"/>
    <n v="5.1799999999999999E-2"/>
  </r>
  <r>
    <x v="12"/>
    <x v="0"/>
    <x v="3"/>
    <n v="4.7399999999999998E-2"/>
  </r>
  <r>
    <x v="12"/>
    <x v="9"/>
    <x v="0"/>
    <n v="5.0900000000000001E-2"/>
  </r>
  <r>
    <x v="12"/>
    <x v="9"/>
    <x v="1"/>
    <n v="2.98E-2"/>
  </r>
  <r>
    <x v="12"/>
    <x v="9"/>
    <x v="2"/>
    <n v="2.2800000000000001E-2"/>
  </r>
  <r>
    <x v="12"/>
    <x v="9"/>
    <x v="3"/>
    <n v="4.8500000000000001E-2"/>
  </r>
  <r>
    <x v="12"/>
    <x v="1"/>
    <x v="0"/>
    <n v="5.1799999999999999E-2"/>
  </r>
  <r>
    <x v="12"/>
    <x v="2"/>
    <x v="0"/>
    <n v="5.1799999999999999E-2"/>
  </r>
  <r>
    <x v="12"/>
    <x v="2"/>
    <x v="4"/>
    <n v="3.7100000000000001E-2"/>
  </r>
  <r>
    <x v="12"/>
    <x v="2"/>
    <x v="1"/>
    <n v="3.4000000000000002E-2"/>
  </r>
  <r>
    <x v="12"/>
    <x v="2"/>
    <x v="5"/>
    <n v="5.33E-2"/>
  </r>
  <r>
    <x v="12"/>
    <x v="3"/>
    <x v="0"/>
    <n v="4.1099999999999998E-2"/>
  </r>
  <r>
    <x v="12"/>
    <x v="3"/>
    <x v="4"/>
    <n v="3.5000000000000003E-2"/>
  </r>
  <r>
    <x v="12"/>
    <x v="3"/>
    <x v="1"/>
    <n v="2.98E-2"/>
  </r>
  <r>
    <x v="12"/>
    <x v="3"/>
    <x v="5"/>
    <n v="4.2700000000000002E-2"/>
  </r>
  <r>
    <x v="12"/>
    <x v="4"/>
    <x v="0"/>
    <n v="4.3400000000000001E-2"/>
  </r>
  <r>
    <x v="12"/>
    <x v="4"/>
    <x v="4"/>
    <n v="2.4299999999999999E-2"/>
  </r>
  <r>
    <x v="12"/>
    <x v="4"/>
    <x v="1"/>
    <n v="3.1E-2"/>
  </r>
  <r>
    <x v="12"/>
    <x v="4"/>
    <x v="5"/>
    <n v="4.0500000000000001E-2"/>
  </r>
  <r>
    <x v="12"/>
    <x v="5"/>
    <x v="0"/>
    <n v="4.6699999999999998E-2"/>
  </r>
  <r>
    <x v="12"/>
    <x v="5"/>
    <x v="4"/>
    <n v="3.04E-2"/>
  </r>
  <r>
    <x v="12"/>
    <x v="5"/>
    <x v="1"/>
    <n v="3.5200000000000002E-2"/>
  </r>
  <r>
    <x v="12"/>
    <x v="5"/>
    <x v="5"/>
    <n v="4.6199999999999998E-2"/>
  </r>
  <r>
    <x v="12"/>
    <x v="6"/>
    <x v="0"/>
    <n v="5.1799999999999999E-2"/>
  </r>
  <r>
    <x v="12"/>
    <x v="6"/>
    <x v="1"/>
    <n v="3.4000000000000002E-2"/>
  </r>
  <r>
    <x v="12"/>
    <x v="6"/>
    <x v="6"/>
    <n v="5.9299999999999999E-2"/>
  </r>
  <r>
    <x v="12"/>
    <x v="6"/>
    <x v="7"/>
    <n v="5.9299999999999999E-2"/>
  </r>
  <r>
    <x v="12"/>
    <x v="7"/>
    <x v="0"/>
    <n v="5.28E-2"/>
  </r>
  <r>
    <x v="12"/>
    <x v="7"/>
    <x v="1"/>
    <n v="3.4000000000000002E-2"/>
  </r>
  <r>
    <x v="12"/>
    <x v="7"/>
    <x v="6"/>
    <n v="5.9299999999999999E-2"/>
  </r>
  <r>
    <x v="12"/>
    <x v="7"/>
    <x v="7"/>
    <n v="5.9299999999999999E-2"/>
  </r>
  <r>
    <x v="12"/>
    <x v="7"/>
    <x v="2"/>
    <n v="2.2800000000000001E-2"/>
  </r>
  <r>
    <x v="12"/>
    <x v="7"/>
    <x v="3"/>
    <n v="5.1499999999999997E-2"/>
  </r>
  <r>
    <x v="12"/>
    <x v="8"/>
    <x v="0"/>
    <n v="5.28E-2"/>
  </r>
  <r>
    <x v="12"/>
    <x v="8"/>
    <x v="1"/>
    <n v="3.4000000000000002E-2"/>
  </r>
  <r>
    <x v="12"/>
    <x v="8"/>
    <x v="6"/>
    <n v="5.9299999999999999E-2"/>
  </r>
  <r>
    <x v="12"/>
    <x v="8"/>
    <x v="7"/>
    <n v="5.9299999999999999E-2"/>
  </r>
  <r>
    <x v="12"/>
    <x v="8"/>
    <x v="2"/>
    <n v="2.2800000000000001E-2"/>
  </r>
  <r>
    <x v="12"/>
    <x v="8"/>
    <x v="3"/>
    <n v="5.0500000000000003E-2"/>
  </r>
  <r>
    <x v="13"/>
    <x v="0"/>
    <x v="0"/>
    <n v="4.9799999999999997E-2"/>
  </r>
  <r>
    <x v="13"/>
    <x v="0"/>
    <x v="1"/>
    <n v="0.03"/>
  </r>
  <r>
    <x v="13"/>
    <x v="0"/>
    <x v="2"/>
    <n v="2.3099999999999999E-2"/>
  </r>
  <r>
    <x v="13"/>
    <x v="0"/>
    <x v="3"/>
    <n v="4.6800000000000001E-2"/>
  </r>
  <r>
    <x v="13"/>
    <x v="9"/>
    <x v="0"/>
    <n v="5.0799999999999998E-2"/>
  </r>
  <r>
    <x v="13"/>
    <x v="9"/>
    <x v="1"/>
    <n v="0.03"/>
  </r>
  <r>
    <x v="13"/>
    <x v="9"/>
    <x v="2"/>
    <n v="2.3099999999999999E-2"/>
  </r>
  <r>
    <x v="13"/>
    <x v="9"/>
    <x v="3"/>
    <n v="4.7800000000000002E-2"/>
  </r>
  <r>
    <x v="13"/>
    <x v="1"/>
    <x v="0"/>
    <n v="5.1799999999999999E-2"/>
  </r>
  <r>
    <x v="13"/>
    <x v="2"/>
    <x v="0"/>
    <n v="5.1799999999999999E-2"/>
  </r>
  <r>
    <x v="13"/>
    <x v="2"/>
    <x v="4"/>
    <n v="3.7100000000000001E-2"/>
  </r>
  <r>
    <x v="13"/>
    <x v="2"/>
    <x v="1"/>
    <n v="3.4299999999999997E-2"/>
  </r>
  <r>
    <x v="13"/>
    <x v="2"/>
    <x v="5"/>
    <n v="5.21E-2"/>
  </r>
  <r>
    <x v="13"/>
    <x v="3"/>
    <x v="0"/>
    <n v="4.1099999999999998E-2"/>
  </r>
  <r>
    <x v="13"/>
    <x v="3"/>
    <x v="4"/>
    <n v="2.5499999999999998E-2"/>
  </r>
  <r>
    <x v="13"/>
    <x v="3"/>
    <x v="1"/>
    <n v="0.03"/>
  </r>
  <r>
    <x v="13"/>
    <x v="3"/>
    <x v="5"/>
    <n v="4.1700000000000001E-2"/>
  </r>
  <r>
    <x v="13"/>
    <x v="4"/>
    <x v="0"/>
    <n v="4.3400000000000001E-2"/>
  </r>
  <r>
    <x v="13"/>
    <x v="4"/>
    <x v="4"/>
    <n v="2.4199999999999999E-2"/>
  </r>
  <r>
    <x v="13"/>
    <x v="4"/>
    <x v="1"/>
    <n v="3.1199999999999999E-2"/>
  </r>
  <r>
    <x v="13"/>
    <x v="4"/>
    <x v="5"/>
    <n v="3.9600000000000003E-2"/>
  </r>
  <r>
    <x v="13"/>
    <x v="5"/>
    <x v="0"/>
    <n v="4.6699999999999998E-2"/>
  </r>
  <r>
    <x v="13"/>
    <x v="5"/>
    <x v="4"/>
    <n v="3.0300000000000001E-2"/>
  </r>
  <r>
    <x v="13"/>
    <x v="5"/>
    <x v="1"/>
    <n v="3.5400000000000001E-2"/>
  </r>
  <r>
    <x v="13"/>
    <x v="5"/>
    <x v="5"/>
    <n v="4.5199999999999997E-2"/>
  </r>
  <r>
    <x v="13"/>
    <x v="6"/>
    <x v="0"/>
    <n v="5.1799999999999999E-2"/>
  </r>
  <r>
    <x v="13"/>
    <x v="6"/>
    <x v="1"/>
    <n v="3.4299999999999997E-2"/>
  </r>
  <r>
    <x v="13"/>
    <x v="6"/>
    <x v="6"/>
    <n v="5.9400000000000001E-2"/>
  </r>
  <r>
    <x v="13"/>
    <x v="6"/>
    <x v="7"/>
    <n v="5.9400000000000001E-2"/>
  </r>
  <r>
    <x v="13"/>
    <x v="7"/>
    <x v="0"/>
    <n v="5.3699999999999998E-2"/>
  </r>
  <r>
    <x v="13"/>
    <x v="7"/>
    <x v="1"/>
    <n v="3.4299999999999997E-2"/>
  </r>
  <r>
    <x v="13"/>
    <x v="7"/>
    <x v="6"/>
    <n v="5.9400000000000001E-2"/>
  </r>
  <r>
    <x v="13"/>
    <x v="7"/>
    <x v="7"/>
    <n v="5.9400000000000001E-2"/>
  </r>
  <r>
    <x v="13"/>
    <x v="7"/>
    <x v="2"/>
    <n v="2.3099999999999999E-2"/>
  </r>
  <r>
    <x v="13"/>
    <x v="7"/>
    <x v="3"/>
    <n v="5.0900000000000001E-2"/>
  </r>
  <r>
    <x v="13"/>
    <x v="8"/>
    <x v="0"/>
    <n v="5.28E-2"/>
  </r>
  <r>
    <x v="13"/>
    <x v="8"/>
    <x v="1"/>
    <n v="3.4299999999999997E-2"/>
  </r>
  <r>
    <x v="13"/>
    <x v="8"/>
    <x v="6"/>
    <n v="5.9400000000000001E-2"/>
  </r>
  <r>
    <x v="13"/>
    <x v="8"/>
    <x v="7"/>
    <n v="5.9400000000000001E-2"/>
  </r>
  <r>
    <x v="13"/>
    <x v="8"/>
    <x v="2"/>
    <n v="2.3099999999999999E-2"/>
  </r>
  <r>
    <x v="13"/>
    <x v="8"/>
    <x v="3"/>
    <n v="5.09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BD5987-F0F1-449B-B89A-AE9533C084C0}" name="PivotTable3" cacheId="1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31:AR47" firstHeaderRow="1" firstDataRow="3" firstDataCol="1"/>
  <pivotFields count="7">
    <pivotField axis="axisRow" numFmtId="1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showAll="0" defaultSubtotal="0">
      <items count="10">
        <item x="0"/>
        <item x="9"/>
        <item x="1"/>
        <item x="2"/>
        <item x="3"/>
        <item x="4"/>
        <item x="5"/>
        <item x="6"/>
        <item x="7"/>
        <item x="8"/>
      </items>
    </pivotField>
    <pivotField axis="axisCol" showAll="0" defaultSubtotal="0">
      <items count="8">
        <item x="0"/>
        <item x="4"/>
        <item x="1"/>
        <item x="6"/>
        <item x="7"/>
        <item x="5"/>
        <item x="2"/>
        <item x="3"/>
      </items>
    </pivotField>
    <pivotField dataField="1" numFmtId="10"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1"/>
  </colFields>
  <colItems count="4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  <x v="3"/>
    </i>
    <i r="1">
      <x v="4"/>
    </i>
    <i r="1">
      <x v="5"/>
    </i>
    <i r="1">
      <x v="6"/>
    </i>
    <i>
      <x v="2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  <x v="7"/>
    </i>
    <i r="1">
      <x v="8"/>
    </i>
    <i r="1">
      <x v="9"/>
    </i>
    <i>
      <x v="4"/>
      <x v="7"/>
    </i>
    <i r="1">
      <x v="8"/>
    </i>
    <i r="1">
      <x v="9"/>
    </i>
    <i>
      <x v="5"/>
      <x v="3"/>
    </i>
    <i r="1">
      <x v="4"/>
    </i>
    <i r="1">
      <x v="5"/>
    </i>
    <i r="1">
      <x v="6"/>
    </i>
    <i>
      <x v="6"/>
      <x/>
    </i>
    <i r="1">
      <x v="1"/>
    </i>
    <i r="1">
      <x v="8"/>
    </i>
    <i r="1">
      <x v="9"/>
    </i>
    <i>
      <x v="7"/>
      <x/>
    </i>
    <i r="1">
      <x v="1"/>
    </i>
    <i r="1">
      <x v="8"/>
    </i>
    <i r="1">
      <x v="9"/>
    </i>
  </colItems>
  <dataFields count="1">
    <dataField name="Sum of Budget" fld="3" baseField="0" baseItem="0"/>
  </dataFields>
  <formats count="3">
    <format dxfId="17">
      <pivotArea collapsedLevelsAreSubtotals="1" fieldPosition="0">
        <references count="1">
          <reference field="0" count="0"/>
        </references>
      </pivotArea>
    </format>
    <format dxfId="16">
      <pivotArea collapsedLevelsAreSubtotals="1" fieldPosition="0">
        <references count="1">
          <reference field="0" count="0"/>
        </references>
      </pivotArea>
    </format>
    <format dxfId="15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8DDD67-94FD-46EA-A614-798B9FA8F1B4}" name="PivotTable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4:AR25" firstHeaderRow="1" firstDataRow="3" firstDataCol="1"/>
  <pivotFields count="7">
    <pivotField axis="axisRow" numFmtId="14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Col" showAll="0" defaultSubtotal="0">
      <items count="10">
        <item x="6"/>
        <item x="9"/>
        <item x="0"/>
        <item x="1"/>
        <item x="2"/>
        <item x="8"/>
        <item x="7"/>
        <item x="3"/>
        <item x="4"/>
        <item x="5"/>
      </items>
    </pivotField>
    <pivotField axis="axisCol" showAll="0" defaultSubtotal="0">
      <items count="8">
        <item x="0"/>
        <item x="1"/>
        <item x="2"/>
        <item x="4"/>
        <item x="5"/>
        <item x="3"/>
        <item x="6"/>
        <item x="7"/>
      </items>
    </pivotField>
    <pivotField dataField="1" numFmtId="10"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5">
        <item sd="0" x="0"/>
        <item sd="0" x="1"/>
        <item sd="0" x="2"/>
        <item sd="0" x="3"/>
        <item sd="0" x="4"/>
      </items>
    </pivotField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2">
    <field x="2"/>
    <field x="1"/>
  </colFields>
  <colItems count="4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  <x v="3"/>
    </i>
    <i r="1">
      <x v="4"/>
    </i>
    <i r="1">
      <x v="5"/>
    </i>
    <i r="1">
      <x v="6"/>
    </i>
    <i>
      <x v="2"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  <x v="7"/>
    </i>
    <i r="1">
      <x v="8"/>
    </i>
    <i r="1">
      <x v="9"/>
    </i>
    <i>
      <x v="4"/>
      <x v="7"/>
    </i>
    <i r="1">
      <x v="8"/>
    </i>
    <i r="1">
      <x v="9"/>
    </i>
    <i>
      <x v="5"/>
      <x v="3"/>
    </i>
    <i r="1">
      <x v="4"/>
    </i>
    <i r="1">
      <x v="5"/>
    </i>
    <i r="1">
      <x v="6"/>
    </i>
    <i>
      <x v="6"/>
      <x/>
    </i>
    <i r="1">
      <x v="1"/>
    </i>
    <i r="1">
      <x v="8"/>
    </i>
    <i r="1">
      <x v="9"/>
    </i>
    <i>
      <x v="7"/>
      <x/>
    </i>
    <i r="1">
      <x v="1"/>
    </i>
    <i r="1">
      <x v="8"/>
    </i>
    <i r="1">
      <x v="9"/>
    </i>
  </colItems>
  <dataFields count="1">
    <dataField name="Sum of Budget" fld="3" baseField="0" baseItem="0" numFmtId="165"/>
  </dataFields>
  <formats count="2">
    <format dxfId="6">
      <pivotArea outline="0" collapsedLevelsAreSubtotals="1" fieldPosition="0"/>
    </format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4D68-6799-402B-B44B-9D8EFCB2B48E}">
  <sheetPr codeName="Sheet1"/>
  <dimension ref="A1:P732"/>
  <sheetViews>
    <sheetView showGridLines="0" workbookViewId="0">
      <selection activeCell="F2" sqref="F2"/>
    </sheetView>
  </sheetViews>
  <sheetFormatPr defaultRowHeight="15" x14ac:dyDescent="0.25"/>
  <cols>
    <col min="1" max="1" width="10.85546875" bestFit="1" customWidth="1"/>
    <col min="2" max="2" width="14.28515625" bestFit="1" customWidth="1"/>
    <col min="3" max="3" width="8.85546875" bestFit="1" customWidth="1"/>
    <col min="4" max="4" width="7.28515625" bestFit="1" customWidth="1"/>
    <col min="5" max="5" width="5.5703125" bestFit="1" customWidth="1"/>
    <col min="6" max="6" width="7.140625" bestFit="1" customWidth="1"/>
    <col min="7" max="7" width="6.140625" bestFit="1" customWidth="1"/>
    <col min="8" max="8" width="10.140625" bestFit="1" customWidth="1"/>
    <col min="9" max="9" width="7.140625" bestFit="1" customWidth="1"/>
    <col min="10" max="10" width="13.140625" bestFit="1" customWidth="1"/>
    <col min="11" max="11" width="9.85546875" bestFit="1" customWidth="1"/>
    <col min="12" max="12" width="7.7109375" bestFit="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4" t="s">
        <v>11</v>
      </c>
      <c r="O1" s="6" t="s">
        <v>31</v>
      </c>
      <c r="P1" t="s">
        <v>32</v>
      </c>
    </row>
    <row r="2" spans="1:16" x14ac:dyDescent="0.25">
      <c r="A2" s="5">
        <v>45110</v>
      </c>
      <c r="B2" s="1" t="s">
        <v>12</v>
      </c>
      <c r="C2" s="1" t="s">
        <v>13</v>
      </c>
      <c r="D2" s="2">
        <v>5.4800000000000001E-2</v>
      </c>
      <c r="E2" s="3">
        <v>1</v>
      </c>
      <c r="F2" s="2">
        <v>0.1</v>
      </c>
      <c r="G2" s="2">
        <v>0</v>
      </c>
      <c r="H2" s="2" t="s">
        <v>14</v>
      </c>
      <c r="I2" s="2" t="s">
        <v>14</v>
      </c>
      <c r="J2" s="2" t="s">
        <v>14</v>
      </c>
      <c r="K2" s="2">
        <v>0</v>
      </c>
      <c r="L2" s="4">
        <v>0.03</v>
      </c>
    </row>
    <row r="3" spans="1:16" x14ac:dyDescent="0.25">
      <c r="A3" s="5">
        <v>45110</v>
      </c>
      <c r="B3" s="1" t="s">
        <v>15</v>
      </c>
      <c r="C3" s="1" t="s">
        <v>13</v>
      </c>
      <c r="D3" s="2">
        <v>5.4800000000000001E-2</v>
      </c>
      <c r="E3" s="3">
        <v>1</v>
      </c>
      <c r="F3" s="2">
        <v>0.1</v>
      </c>
      <c r="G3" s="2">
        <v>0</v>
      </c>
      <c r="H3" s="2" t="s">
        <v>14</v>
      </c>
      <c r="I3" s="2" t="s">
        <v>14</v>
      </c>
      <c r="J3" s="2" t="s">
        <v>14</v>
      </c>
      <c r="K3" s="2">
        <v>0</v>
      </c>
      <c r="L3" s="4">
        <v>0.03</v>
      </c>
    </row>
    <row r="4" spans="1:16" x14ac:dyDescent="0.25">
      <c r="A4" s="5">
        <v>45110</v>
      </c>
      <c r="B4" s="1" t="s">
        <v>15</v>
      </c>
      <c r="C4" s="1" t="s">
        <v>16</v>
      </c>
      <c r="D4" s="2">
        <v>3.85E-2</v>
      </c>
      <c r="E4" s="3">
        <v>1</v>
      </c>
      <c r="F4" s="2">
        <v>8.5000000000000006E-2</v>
      </c>
      <c r="G4" s="2">
        <v>1.4999999999999999E-2</v>
      </c>
      <c r="H4" s="2" t="s">
        <v>14</v>
      </c>
      <c r="I4" s="2" t="s">
        <v>14</v>
      </c>
      <c r="J4" s="2" t="s">
        <v>14</v>
      </c>
      <c r="K4" s="2">
        <v>0</v>
      </c>
      <c r="L4" s="4">
        <v>0.03</v>
      </c>
    </row>
    <row r="5" spans="1:16" x14ac:dyDescent="0.25">
      <c r="A5" s="5">
        <v>45110</v>
      </c>
      <c r="B5" s="1" t="s">
        <v>15</v>
      </c>
      <c r="C5" s="1" t="s">
        <v>17</v>
      </c>
      <c r="D5" s="2">
        <v>3.0499999999999999E-2</v>
      </c>
      <c r="E5" s="3">
        <v>1</v>
      </c>
      <c r="F5" s="2" t="s">
        <v>14</v>
      </c>
      <c r="G5" s="2">
        <v>0</v>
      </c>
      <c r="H5" s="2" t="s">
        <v>14</v>
      </c>
      <c r="I5" s="2">
        <v>0.1</v>
      </c>
      <c r="J5" s="2" t="s">
        <v>14</v>
      </c>
      <c r="K5" s="2">
        <v>0</v>
      </c>
      <c r="L5" s="4">
        <v>0.03</v>
      </c>
    </row>
    <row r="6" spans="1:16" x14ac:dyDescent="0.25">
      <c r="A6" s="5">
        <v>45110</v>
      </c>
      <c r="B6" s="1" t="s">
        <v>15</v>
      </c>
      <c r="C6" s="1" t="s">
        <v>18</v>
      </c>
      <c r="D6" s="2">
        <v>5.3499999999999999E-2</v>
      </c>
      <c r="E6" s="3">
        <v>1</v>
      </c>
      <c r="F6" s="2" t="s">
        <v>14</v>
      </c>
      <c r="G6" s="2">
        <v>0</v>
      </c>
      <c r="H6" s="2">
        <v>7.4999999999999997E-2</v>
      </c>
      <c r="I6" s="2" t="s">
        <v>14</v>
      </c>
      <c r="J6" s="2" t="s">
        <v>14</v>
      </c>
      <c r="K6" s="2">
        <v>0</v>
      </c>
      <c r="L6" s="4">
        <v>0.03</v>
      </c>
    </row>
    <row r="7" spans="1:16" x14ac:dyDescent="0.25">
      <c r="A7" s="5">
        <v>45110</v>
      </c>
      <c r="B7" s="1" t="s">
        <v>19</v>
      </c>
      <c r="C7" s="1" t="s">
        <v>13</v>
      </c>
      <c r="D7" s="2">
        <v>4.3499999999999997E-2</v>
      </c>
      <c r="E7" s="3">
        <v>1</v>
      </c>
      <c r="F7" s="2">
        <v>7.4999999999999997E-2</v>
      </c>
      <c r="G7" s="2">
        <v>0</v>
      </c>
      <c r="H7" s="2" t="s">
        <v>14</v>
      </c>
      <c r="I7" s="2" t="s">
        <v>14</v>
      </c>
      <c r="J7" s="2" t="s">
        <v>14</v>
      </c>
      <c r="K7" s="2">
        <v>0</v>
      </c>
      <c r="L7" s="4">
        <v>0.03</v>
      </c>
    </row>
    <row r="8" spans="1:16" x14ac:dyDescent="0.25">
      <c r="A8" s="5">
        <v>45110</v>
      </c>
      <c r="B8" s="1" t="s">
        <v>19</v>
      </c>
      <c r="C8" s="1" t="s">
        <v>16</v>
      </c>
      <c r="D8" s="2">
        <v>2.63E-2</v>
      </c>
      <c r="E8" s="3">
        <v>1</v>
      </c>
      <c r="F8" s="2">
        <v>0.06</v>
      </c>
      <c r="G8" s="2">
        <v>1.4999999999999999E-2</v>
      </c>
      <c r="H8" s="2" t="s">
        <v>14</v>
      </c>
      <c r="I8" s="2" t="s">
        <v>14</v>
      </c>
      <c r="J8" s="2" t="s">
        <v>14</v>
      </c>
      <c r="K8" s="2">
        <v>0</v>
      </c>
      <c r="L8" s="4">
        <v>0.03</v>
      </c>
    </row>
    <row r="9" spans="1:16" x14ac:dyDescent="0.25">
      <c r="A9" s="5">
        <v>45110</v>
      </c>
      <c r="B9" s="1" t="s">
        <v>19</v>
      </c>
      <c r="C9" s="1" t="s">
        <v>17</v>
      </c>
      <c r="D9" s="2">
        <v>2.6700000000000002E-2</v>
      </c>
      <c r="E9" s="3">
        <v>1</v>
      </c>
      <c r="F9" s="2" t="s">
        <v>14</v>
      </c>
      <c r="G9" s="2">
        <v>0</v>
      </c>
      <c r="H9" s="2" t="s">
        <v>14</v>
      </c>
      <c r="I9" s="2">
        <v>0.11</v>
      </c>
      <c r="J9" s="2" t="s">
        <v>14</v>
      </c>
      <c r="K9" s="2">
        <v>0</v>
      </c>
      <c r="L9" s="4">
        <v>0.03</v>
      </c>
    </row>
    <row r="10" spans="1:16" x14ac:dyDescent="0.25">
      <c r="A10" s="5">
        <v>45110</v>
      </c>
      <c r="B10" s="1" t="s">
        <v>19</v>
      </c>
      <c r="C10" s="1" t="s">
        <v>18</v>
      </c>
      <c r="D10" s="2">
        <v>4.2799999999999998E-2</v>
      </c>
      <c r="E10" s="3">
        <v>1</v>
      </c>
      <c r="F10" s="2" t="s">
        <v>14</v>
      </c>
      <c r="G10" s="2">
        <v>0</v>
      </c>
      <c r="H10" s="2">
        <v>0.06</v>
      </c>
      <c r="I10" s="2" t="s">
        <v>14</v>
      </c>
      <c r="J10" s="2" t="s">
        <v>14</v>
      </c>
      <c r="K10" s="2">
        <v>0</v>
      </c>
      <c r="L10" s="4">
        <v>0.03</v>
      </c>
    </row>
    <row r="11" spans="1:16" x14ac:dyDescent="0.25">
      <c r="A11" s="5">
        <v>45110</v>
      </c>
      <c r="B11" s="1" t="s">
        <v>20</v>
      </c>
      <c r="C11" s="1" t="s">
        <v>13</v>
      </c>
      <c r="D11" s="2">
        <v>5.4800000000000001E-2</v>
      </c>
      <c r="E11" s="3">
        <v>1</v>
      </c>
      <c r="F11" s="2">
        <v>0.1</v>
      </c>
      <c r="G11" s="2">
        <v>0</v>
      </c>
      <c r="H11" s="2" t="s">
        <v>14</v>
      </c>
      <c r="I11" s="2" t="s">
        <v>14</v>
      </c>
      <c r="J11" s="2" t="s">
        <v>14</v>
      </c>
      <c r="K11" s="2">
        <v>0</v>
      </c>
      <c r="L11" s="4">
        <v>0.03</v>
      </c>
    </row>
    <row r="12" spans="1:16" x14ac:dyDescent="0.25">
      <c r="A12" s="5">
        <v>45110</v>
      </c>
      <c r="B12" s="1" t="s">
        <v>20</v>
      </c>
      <c r="C12" s="1" t="s">
        <v>17</v>
      </c>
      <c r="D12" s="2">
        <v>3.0499999999999999E-2</v>
      </c>
      <c r="E12" s="3">
        <v>1</v>
      </c>
      <c r="F12" s="2" t="s">
        <v>14</v>
      </c>
      <c r="G12" s="2">
        <v>0</v>
      </c>
      <c r="H12" s="2" t="s">
        <v>14</v>
      </c>
      <c r="I12" s="2">
        <v>0.1</v>
      </c>
      <c r="J12" s="2" t="s">
        <v>14</v>
      </c>
      <c r="K12" s="2">
        <v>0</v>
      </c>
      <c r="L12" s="4">
        <v>0.03</v>
      </c>
    </row>
    <row r="13" spans="1:16" x14ac:dyDescent="0.25">
      <c r="A13" s="5">
        <v>45110</v>
      </c>
      <c r="B13" s="1" t="s">
        <v>20</v>
      </c>
      <c r="C13" s="1" t="s">
        <v>21</v>
      </c>
      <c r="D13" s="2">
        <v>6.2E-2</v>
      </c>
      <c r="E13" s="3">
        <v>1</v>
      </c>
      <c r="F13" s="2">
        <v>0.12</v>
      </c>
      <c r="G13" s="2">
        <v>0</v>
      </c>
      <c r="H13" s="2" t="s">
        <v>14</v>
      </c>
      <c r="I13" s="2" t="s">
        <v>14</v>
      </c>
      <c r="J13" s="2">
        <v>4.1500000000000002E-2</v>
      </c>
      <c r="K13" s="2">
        <v>0.6</v>
      </c>
      <c r="L13" s="4">
        <v>0.03</v>
      </c>
    </row>
    <row r="14" spans="1:16" x14ac:dyDescent="0.25">
      <c r="A14" s="5">
        <v>45110</v>
      </c>
      <c r="B14" s="1" t="s">
        <v>20</v>
      </c>
      <c r="C14" s="1" t="s">
        <v>22</v>
      </c>
      <c r="D14" s="2">
        <v>6.2E-2</v>
      </c>
      <c r="E14" s="3">
        <v>1</v>
      </c>
      <c r="F14" s="2">
        <v>0.12</v>
      </c>
      <c r="G14" s="2">
        <v>0</v>
      </c>
      <c r="H14" s="2" t="s">
        <v>14</v>
      </c>
      <c r="I14" s="2" t="s">
        <v>14</v>
      </c>
      <c r="J14" s="2">
        <v>2.1499999999999998E-2</v>
      </c>
      <c r="K14" s="2">
        <v>0.24</v>
      </c>
      <c r="L14" s="4">
        <v>0.03</v>
      </c>
    </row>
    <row r="15" spans="1:16" x14ac:dyDescent="0.25">
      <c r="A15" s="5">
        <v>45110</v>
      </c>
      <c r="B15" s="1" t="s">
        <v>23</v>
      </c>
      <c r="C15" s="1" t="s">
        <v>24</v>
      </c>
      <c r="D15" s="2">
        <v>2.4297099267528224E-2</v>
      </c>
      <c r="E15" s="3">
        <v>2.4</v>
      </c>
      <c r="F15" s="2" t="s">
        <v>14</v>
      </c>
      <c r="G15" s="2">
        <v>0</v>
      </c>
      <c r="H15" s="2" t="s">
        <v>14</v>
      </c>
      <c r="I15" s="2" t="s">
        <v>14</v>
      </c>
      <c r="J15" s="2" t="s">
        <v>14</v>
      </c>
      <c r="K15" s="2">
        <v>0</v>
      </c>
      <c r="L15" s="4">
        <v>0.03</v>
      </c>
    </row>
    <row r="16" spans="1:16" x14ac:dyDescent="0.25">
      <c r="A16" s="5">
        <v>45110</v>
      </c>
      <c r="B16" s="1" t="s">
        <v>23</v>
      </c>
      <c r="C16" s="1" t="s">
        <v>25</v>
      </c>
      <c r="D16" s="2">
        <v>5.539278074250939E-2</v>
      </c>
      <c r="E16" s="3">
        <v>1</v>
      </c>
      <c r="F16" s="2">
        <v>0.105</v>
      </c>
      <c r="G16" s="2">
        <v>0</v>
      </c>
      <c r="H16" s="2" t="s">
        <v>14</v>
      </c>
      <c r="I16" s="2" t="s">
        <v>14</v>
      </c>
      <c r="J16" s="2" t="s">
        <v>14</v>
      </c>
      <c r="K16" s="2">
        <v>0</v>
      </c>
      <c r="L16" s="4">
        <v>0.03</v>
      </c>
    </row>
    <row r="17" spans="1:12" x14ac:dyDescent="0.25">
      <c r="A17" s="5">
        <v>45110</v>
      </c>
      <c r="B17" s="1" t="s">
        <v>23</v>
      </c>
      <c r="C17" s="1" t="s">
        <v>13</v>
      </c>
      <c r="D17" s="2">
        <v>5.67E-2</v>
      </c>
      <c r="E17" s="3">
        <v>1</v>
      </c>
      <c r="F17" s="2">
        <v>0.105</v>
      </c>
      <c r="G17" s="2">
        <v>0</v>
      </c>
      <c r="H17" s="2" t="s">
        <v>14</v>
      </c>
      <c r="I17" s="2" t="s">
        <v>14</v>
      </c>
      <c r="J17" s="2" t="s">
        <v>14</v>
      </c>
      <c r="K17" s="2">
        <v>0</v>
      </c>
      <c r="L17" s="4">
        <v>0.03</v>
      </c>
    </row>
    <row r="18" spans="1:12" x14ac:dyDescent="0.25">
      <c r="A18" s="5">
        <v>45110</v>
      </c>
      <c r="B18" s="1" t="s">
        <v>23</v>
      </c>
      <c r="C18" s="1" t="s">
        <v>17</v>
      </c>
      <c r="D18" s="2">
        <v>3.0499999999999999E-2</v>
      </c>
      <c r="E18" s="3">
        <v>1</v>
      </c>
      <c r="F18" s="2" t="s">
        <v>14</v>
      </c>
      <c r="G18" s="2">
        <v>0</v>
      </c>
      <c r="H18" s="2" t="s">
        <v>14</v>
      </c>
      <c r="I18" s="2">
        <v>0.1</v>
      </c>
      <c r="J18" s="2" t="s">
        <v>14</v>
      </c>
      <c r="K18" s="2">
        <v>0</v>
      </c>
      <c r="L18" s="4">
        <v>0.03</v>
      </c>
    </row>
    <row r="19" spans="1:12" x14ac:dyDescent="0.25">
      <c r="A19" s="5">
        <v>45110</v>
      </c>
      <c r="B19" s="1" t="s">
        <v>23</v>
      </c>
      <c r="C19" s="1" t="s">
        <v>21</v>
      </c>
      <c r="D19" s="2">
        <v>6.2E-2</v>
      </c>
      <c r="E19" s="3">
        <v>1</v>
      </c>
      <c r="F19" s="2">
        <v>0.12</v>
      </c>
      <c r="G19" s="2">
        <v>0</v>
      </c>
      <c r="H19" s="2" t="s">
        <v>14</v>
      </c>
      <c r="I19" s="2" t="s">
        <v>14</v>
      </c>
      <c r="J19" s="2">
        <v>4.1500000000000002E-2</v>
      </c>
      <c r="K19" s="2">
        <v>0.6</v>
      </c>
      <c r="L19" s="4">
        <v>0.03</v>
      </c>
    </row>
    <row r="20" spans="1:12" x14ac:dyDescent="0.25">
      <c r="A20" s="5">
        <v>45110</v>
      </c>
      <c r="B20" s="1" t="s">
        <v>23</v>
      </c>
      <c r="C20" s="1" t="s">
        <v>22</v>
      </c>
      <c r="D20" s="2">
        <v>6.2E-2</v>
      </c>
      <c r="E20" s="3">
        <v>1</v>
      </c>
      <c r="F20" s="2">
        <v>0.12</v>
      </c>
      <c r="G20" s="2">
        <v>0</v>
      </c>
      <c r="H20" s="2" t="s">
        <v>14</v>
      </c>
      <c r="I20" s="2" t="s">
        <v>14</v>
      </c>
      <c r="J20" s="2">
        <v>2.1499999999999998E-2</v>
      </c>
      <c r="K20" s="2">
        <v>0.24</v>
      </c>
      <c r="L20" s="4">
        <v>0.03</v>
      </c>
    </row>
    <row r="21" spans="1:12" x14ac:dyDescent="0.25">
      <c r="A21" s="5">
        <v>45110</v>
      </c>
      <c r="B21" s="1" t="s">
        <v>26</v>
      </c>
      <c r="C21" s="1" t="s">
        <v>24</v>
      </c>
      <c r="D21" s="2">
        <v>2.4297099267528224E-2</v>
      </c>
      <c r="E21" s="3">
        <v>2.4</v>
      </c>
      <c r="F21" s="2" t="s">
        <v>14</v>
      </c>
      <c r="G21" s="2">
        <v>0</v>
      </c>
      <c r="H21" s="2" t="s">
        <v>14</v>
      </c>
      <c r="I21" s="2" t="s">
        <v>14</v>
      </c>
      <c r="J21" s="2" t="s">
        <v>14</v>
      </c>
      <c r="K21" s="2">
        <v>0</v>
      </c>
      <c r="L21" s="4">
        <v>0.03</v>
      </c>
    </row>
    <row r="22" spans="1:12" x14ac:dyDescent="0.25">
      <c r="A22" s="5">
        <v>45110</v>
      </c>
      <c r="B22" s="1" t="s">
        <v>26</v>
      </c>
      <c r="C22" s="1" t="s">
        <v>25</v>
      </c>
      <c r="D22" s="2">
        <v>5.4399999999999997E-2</v>
      </c>
      <c r="E22" s="3">
        <v>1</v>
      </c>
      <c r="F22" s="2">
        <v>0.10249999999999999</v>
      </c>
      <c r="G22" s="2">
        <v>0</v>
      </c>
      <c r="H22" s="2" t="s">
        <v>14</v>
      </c>
      <c r="I22" s="2" t="s">
        <v>14</v>
      </c>
      <c r="J22" s="2" t="s">
        <v>14</v>
      </c>
      <c r="K22" s="2">
        <v>0</v>
      </c>
      <c r="L22" s="4">
        <v>0.03</v>
      </c>
    </row>
    <row r="23" spans="1:12" x14ac:dyDescent="0.25">
      <c r="A23" s="5">
        <v>45110</v>
      </c>
      <c r="B23" s="1" t="s">
        <v>26</v>
      </c>
      <c r="C23" s="1" t="s">
        <v>13</v>
      </c>
      <c r="D23" s="2">
        <v>5.5800000000000002E-2</v>
      </c>
      <c r="E23" s="3">
        <v>1</v>
      </c>
      <c r="F23" s="2">
        <v>0.10249999999999999</v>
      </c>
      <c r="G23" s="2">
        <v>0</v>
      </c>
      <c r="H23" s="2" t="s">
        <v>14</v>
      </c>
      <c r="I23" s="2" t="s">
        <v>14</v>
      </c>
      <c r="J23" s="2" t="s">
        <v>14</v>
      </c>
      <c r="K23" s="2">
        <v>0</v>
      </c>
      <c r="L23" s="4">
        <v>0.03</v>
      </c>
    </row>
    <row r="24" spans="1:12" x14ac:dyDescent="0.25">
      <c r="A24" s="5">
        <v>45110</v>
      </c>
      <c r="B24" s="1" t="s">
        <v>26</v>
      </c>
      <c r="C24" s="1" t="s">
        <v>17</v>
      </c>
      <c r="D24" s="2">
        <v>3.0499999999999999E-2</v>
      </c>
      <c r="E24" s="3">
        <v>1</v>
      </c>
      <c r="F24" s="2" t="s">
        <v>14</v>
      </c>
      <c r="G24" s="2">
        <v>0</v>
      </c>
      <c r="H24" s="2" t="s">
        <v>14</v>
      </c>
      <c r="I24" s="2">
        <v>0.1</v>
      </c>
      <c r="J24" s="2" t="s">
        <v>14</v>
      </c>
      <c r="K24" s="2">
        <v>0</v>
      </c>
      <c r="L24" s="4">
        <v>0.03</v>
      </c>
    </row>
    <row r="25" spans="1:12" x14ac:dyDescent="0.25">
      <c r="A25" s="5">
        <v>45110</v>
      </c>
      <c r="B25" s="1" t="s">
        <v>26</v>
      </c>
      <c r="C25" s="1" t="s">
        <v>21</v>
      </c>
      <c r="D25" s="2">
        <v>6.2E-2</v>
      </c>
      <c r="E25" s="3">
        <v>1</v>
      </c>
      <c r="F25" s="2">
        <v>0.12</v>
      </c>
      <c r="G25" s="2">
        <v>0</v>
      </c>
      <c r="H25" s="2" t="s">
        <v>14</v>
      </c>
      <c r="I25" s="2" t="s">
        <v>14</v>
      </c>
      <c r="J25" s="2">
        <v>4.1500000000000002E-2</v>
      </c>
      <c r="K25" s="2">
        <v>0.6</v>
      </c>
      <c r="L25" s="4">
        <v>0.03</v>
      </c>
    </row>
    <row r="26" spans="1:12" x14ac:dyDescent="0.25">
      <c r="A26" s="5">
        <v>45110</v>
      </c>
      <c r="B26" s="1" t="s">
        <v>26</v>
      </c>
      <c r="C26" s="1" t="s">
        <v>22</v>
      </c>
      <c r="D26" s="2">
        <v>6.2E-2</v>
      </c>
      <c r="E26" s="3">
        <v>1</v>
      </c>
      <c r="F26" s="2">
        <v>0.12</v>
      </c>
      <c r="G26" s="2">
        <v>0</v>
      </c>
      <c r="H26" s="2" t="s">
        <v>14</v>
      </c>
      <c r="I26" s="2" t="s">
        <v>14</v>
      </c>
      <c r="J26" s="2">
        <v>2.1499999999999998E-2</v>
      </c>
      <c r="K26" s="2">
        <v>0.24</v>
      </c>
      <c r="L26" s="4">
        <v>0.03</v>
      </c>
    </row>
    <row r="27" spans="1:12" x14ac:dyDescent="0.25">
      <c r="A27" s="5">
        <v>45110</v>
      </c>
      <c r="B27" s="1" t="s">
        <v>27</v>
      </c>
      <c r="C27" s="1" t="s">
        <v>13</v>
      </c>
      <c r="D27" s="2">
        <v>5.2682041941840591E-2</v>
      </c>
      <c r="E27" s="3">
        <v>1</v>
      </c>
      <c r="F27" s="2">
        <v>9.5000000000000001E-2</v>
      </c>
      <c r="G27" s="2">
        <v>0</v>
      </c>
      <c r="H27" s="2" t="s">
        <v>14</v>
      </c>
      <c r="I27" s="2" t="s">
        <v>14</v>
      </c>
      <c r="J27" s="2" t="s">
        <v>14</v>
      </c>
      <c r="K27" s="2">
        <v>0</v>
      </c>
      <c r="L27" s="4">
        <v>0.03</v>
      </c>
    </row>
    <row r="28" spans="1:12" x14ac:dyDescent="0.25">
      <c r="A28" s="5">
        <v>45110</v>
      </c>
      <c r="B28" s="1" t="s">
        <v>27</v>
      </c>
      <c r="C28" s="1" t="s">
        <v>17</v>
      </c>
      <c r="D28" s="2">
        <v>2.674824049565953E-2</v>
      </c>
      <c r="E28" s="3">
        <v>1</v>
      </c>
      <c r="F28" s="2" t="s">
        <v>14</v>
      </c>
      <c r="G28" s="2">
        <v>0</v>
      </c>
      <c r="H28" s="2" t="s">
        <v>14</v>
      </c>
      <c r="I28" s="2">
        <v>0.11</v>
      </c>
      <c r="J28" s="2" t="s">
        <v>14</v>
      </c>
      <c r="K28" s="2">
        <v>0</v>
      </c>
      <c r="L28" s="4">
        <v>0.03</v>
      </c>
    </row>
    <row r="29" spans="1:12" x14ac:dyDescent="0.25">
      <c r="A29" s="5">
        <v>45110</v>
      </c>
      <c r="B29" s="1" t="s">
        <v>27</v>
      </c>
      <c r="C29" s="1" t="s">
        <v>24</v>
      </c>
      <c r="D29" s="2">
        <v>2.2235243597425132E-2</v>
      </c>
      <c r="E29" s="3">
        <v>2.2000000000000002</v>
      </c>
      <c r="F29" s="2" t="s">
        <v>14</v>
      </c>
      <c r="G29" s="2">
        <v>0</v>
      </c>
      <c r="H29" s="2" t="s">
        <v>14</v>
      </c>
      <c r="I29" s="2" t="s">
        <v>14</v>
      </c>
      <c r="J29" s="2" t="s">
        <v>14</v>
      </c>
      <c r="K29" s="2">
        <v>0</v>
      </c>
      <c r="L29" s="4">
        <v>0.03</v>
      </c>
    </row>
    <row r="30" spans="1:12" x14ac:dyDescent="0.25">
      <c r="A30" s="5">
        <v>45110</v>
      </c>
      <c r="B30" s="1" t="s">
        <v>27</v>
      </c>
      <c r="C30" s="1" t="s">
        <v>25</v>
      </c>
      <c r="D30" s="2">
        <v>5.107895504819078E-2</v>
      </c>
      <c r="E30" s="3">
        <v>1</v>
      </c>
      <c r="F30" s="2">
        <v>9.5000000000000001E-2</v>
      </c>
      <c r="G30" s="2">
        <v>0</v>
      </c>
      <c r="H30" s="2" t="s">
        <v>14</v>
      </c>
      <c r="I30" s="2" t="s">
        <v>14</v>
      </c>
      <c r="J30" s="2" t="s">
        <v>14</v>
      </c>
      <c r="K30" s="2">
        <v>0</v>
      </c>
      <c r="L30" s="4">
        <v>0.03</v>
      </c>
    </row>
    <row r="31" spans="1:12" x14ac:dyDescent="0.25">
      <c r="A31" s="5">
        <v>45110</v>
      </c>
      <c r="B31" s="1" t="s">
        <v>28</v>
      </c>
      <c r="C31" s="1" t="s">
        <v>13</v>
      </c>
      <c r="D31" s="2">
        <v>4.8300000000000003E-2</v>
      </c>
      <c r="E31" s="3">
        <v>1</v>
      </c>
      <c r="F31" s="2">
        <v>8.5000000000000006E-2</v>
      </c>
      <c r="G31" s="2">
        <v>0</v>
      </c>
      <c r="H31" s="2" t="s">
        <v>14</v>
      </c>
      <c r="I31" s="2" t="s">
        <v>14</v>
      </c>
      <c r="J31" s="2" t="s">
        <v>14</v>
      </c>
      <c r="K31" s="2">
        <v>0</v>
      </c>
      <c r="L31" s="4">
        <v>0.03</v>
      </c>
    </row>
    <row r="32" spans="1:12" x14ac:dyDescent="0.25">
      <c r="A32" s="5">
        <v>45110</v>
      </c>
      <c r="B32" s="1" t="s">
        <v>28</v>
      </c>
      <c r="C32" s="1" t="s">
        <v>16</v>
      </c>
      <c r="D32" s="2">
        <v>2.8799999999999999E-2</v>
      </c>
      <c r="E32" s="3">
        <v>1</v>
      </c>
      <c r="F32" s="2">
        <v>6.5000000000000002E-2</v>
      </c>
      <c r="G32" s="2">
        <v>1.4999999999999999E-2</v>
      </c>
      <c r="H32" s="2" t="s">
        <v>14</v>
      </c>
      <c r="I32" s="2" t="s">
        <v>14</v>
      </c>
      <c r="J32" s="2" t="s">
        <v>14</v>
      </c>
      <c r="K32" s="2">
        <v>0</v>
      </c>
      <c r="L32" s="4">
        <v>0.03</v>
      </c>
    </row>
    <row r="33" spans="1:12" x14ac:dyDescent="0.25">
      <c r="A33" s="5">
        <v>45110</v>
      </c>
      <c r="B33" s="1" t="s">
        <v>28</v>
      </c>
      <c r="C33" s="1" t="s">
        <v>17</v>
      </c>
      <c r="D33" s="2">
        <v>4.0500000000000001E-2</v>
      </c>
      <c r="E33" s="3">
        <v>1</v>
      </c>
      <c r="F33" s="2" t="s">
        <v>14</v>
      </c>
      <c r="G33" s="2">
        <v>0</v>
      </c>
      <c r="H33" s="2" t="s">
        <v>14</v>
      </c>
      <c r="I33" s="2">
        <v>7.7499999999999999E-2</v>
      </c>
      <c r="J33" s="2" t="s">
        <v>14</v>
      </c>
      <c r="K33" s="2">
        <v>0</v>
      </c>
      <c r="L33" s="4">
        <v>0.03</v>
      </c>
    </row>
    <row r="34" spans="1:12" x14ac:dyDescent="0.25">
      <c r="A34" s="5">
        <v>45110</v>
      </c>
      <c r="B34" s="1" t="s">
        <v>28</v>
      </c>
      <c r="C34" s="1" t="s">
        <v>18</v>
      </c>
      <c r="D34" s="2">
        <v>4.9599999999999998E-2</v>
      </c>
      <c r="E34" s="3">
        <v>1</v>
      </c>
      <c r="F34" s="2" t="s">
        <v>14</v>
      </c>
      <c r="G34" s="2">
        <v>0</v>
      </c>
      <c r="H34" s="2">
        <v>6.9500000000000006E-2</v>
      </c>
      <c r="I34" s="2" t="s">
        <v>14</v>
      </c>
      <c r="J34" s="2" t="s">
        <v>14</v>
      </c>
      <c r="K34" s="2">
        <v>0</v>
      </c>
      <c r="L34" s="4">
        <v>0.03</v>
      </c>
    </row>
    <row r="35" spans="1:12" x14ac:dyDescent="0.25">
      <c r="A35" s="5">
        <v>45110</v>
      </c>
      <c r="B35" s="1" t="s">
        <v>29</v>
      </c>
      <c r="C35" s="1" t="s">
        <v>13</v>
      </c>
      <c r="D35" s="2">
        <v>4.3499999999999997E-2</v>
      </c>
      <c r="E35" s="3">
        <v>1</v>
      </c>
      <c r="F35" s="2">
        <v>7.4999999999999997E-2</v>
      </c>
      <c r="G35" s="2">
        <v>0</v>
      </c>
      <c r="H35" s="2" t="s">
        <v>14</v>
      </c>
      <c r="I35" s="2" t="s">
        <v>14</v>
      </c>
      <c r="J35" s="2" t="s">
        <v>14</v>
      </c>
      <c r="K35" s="2">
        <v>0</v>
      </c>
      <c r="L35" s="4">
        <v>0.03</v>
      </c>
    </row>
    <row r="36" spans="1:12" x14ac:dyDescent="0.25">
      <c r="A36" s="5">
        <v>45110</v>
      </c>
      <c r="B36" s="1" t="s">
        <v>29</v>
      </c>
      <c r="C36" s="1" t="s">
        <v>16</v>
      </c>
      <c r="D36" s="2">
        <v>2.0899999999999998E-2</v>
      </c>
      <c r="E36" s="3">
        <v>1</v>
      </c>
      <c r="F36" s="2">
        <v>0.05</v>
      </c>
      <c r="G36" s="2">
        <v>1.4999999999999999E-2</v>
      </c>
      <c r="H36" s="2" t="s">
        <v>14</v>
      </c>
      <c r="I36" s="2" t="s">
        <v>14</v>
      </c>
      <c r="J36" s="2" t="s">
        <v>14</v>
      </c>
      <c r="K36" s="2">
        <v>0</v>
      </c>
      <c r="L36" s="4">
        <v>0.03</v>
      </c>
    </row>
    <row r="37" spans="1:12" x14ac:dyDescent="0.25">
      <c r="A37" s="5">
        <v>45110</v>
      </c>
      <c r="B37" s="1" t="s">
        <v>29</v>
      </c>
      <c r="C37" s="1" t="s">
        <v>17</v>
      </c>
      <c r="D37" s="2">
        <v>3.5400000000000001E-2</v>
      </c>
      <c r="E37" s="3">
        <v>1</v>
      </c>
      <c r="F37" s="2" t="s">
        <v>14</v>
      </c>
      <c r="G37" s="2">
        <v>0</v>
      </c>
      <c r="H37" s="2" t="s">
        <v>14</v>
      </c>
      <c r="I37" s="2">
        <v>8.8499999999999995E-2</v>
      </c>
      <c r="J37" s="2" t="s">
        <v>14</v>
      </c>
      <c r="K37" s="2">
        <v>0</v>
      </c>
      <c r="L37" s="4">
        <v>0.03</v>
      </c>
    </row>
    <row r="38" spans="1:12" x14ac:dyDescent="0.25">
      <c r="A38" s="5">
        <v>45110</v>
      </c>
      <c r="B38" s="1" t="s">
        <v>29</v>
      </c>
      <c r="C38" s="1" t="s">
        <v>18</v>
      </c>
      <c r="D38" s="2">
        <v>4.2500000000000003E-2</v>
      </c>
      <c r="E38" s="3">
        <v>1</v>
      </c>
      <c r="F38" s="2" t="s">
        <v>14</v>
      </c>
      <c r="G38" s="2">
        <v>0</v>
      </c>
      <c r="H38" s="2">
        <v>5.9499999999999997E-2</v>
      </c>
      <c r="I38" s="2" t="s">
        <v>14</v>
      </c>
      <c r="J38" s="2" t="s">
        <v>14</v>
      </c>
      <c r="K38" s="2">
        <v>0</v>
      </c>
      <c r="L38" s="4">
        <v>0.03</v>
      </c>
    </row>
    <row r="39" spans="1:12" x14ac:dyDescent="0.25">
      <c r="A39" s="5">
        <v>45139</v>
      </c>
      <c r="B39" s="1" t="s">
        <v>12</v>
      </c>
      <c r="C39" s="1" t="s">
        <v>13</v>
      </c>
      <c r="D39" s="2">
        <v>5.5599999999999997E-2</v>
      </c>
      <c r="E39" s="3">
        <v>1</v>
      </c>
      <c r="F39" s="2">
        <v>0.1</v>
      </c>
      <c r="G39" s="2">
        <v>0</v>
      </c>
      <c r="H39" s="2" t="s">
        <v>14</v>
      </c>
      <c r="I39" s="2" t="s">
        <v>14</v>
      </c>
      <c r="J39" s="2" t="s">
        <v>14</v>
      </c>
      <c r="K39" s="2">
        <v>0</v>
      </c>
      <c r="L39" s="4">
        <v>0.03</v>
      </c>
    </row>
    <row r="40" spans="1:12" x14ac:dyDescent="0.25">
      <c r="A40" s="5">
        <v>45139</v>
      </c>
      <c r="B40" s="1" t="s">
        <v>15</v>
      </c>
      <c r="C40" s="1" t="s">
        <v>13</v>
      </c>
      <c r="D40" s="2">
        <v>5.5599999999999997E-2</v>
      </c>
      <c r="E40" s="3">
        <v>1</v>
      </c>
      <c r="F40" s="2">
        <v>0.1</v>
      </c>
      <c r="G40" s="2">
        <v>0</v>
      </c>
      <c r="H40" s="2" t="s">
        <v>14</v>
      </c>
      <c r="I40" s="2" t="s">
        <v>14</v>
      </c>
      <c r="J40" s="2" t="s">
        <v>14</v>
      </c>
      <c r="K40" s="2">
        <v>0</v>
      </c>
      <c r="L40" s="4">
        <v>0.03</v>
      </c>
    </row>
    <row r="41" spans="1:12" x14ac:dyDescent="0.25">
      <c r="A41" s="5">
        <v>45139</v>
      </c>
      <c r="B41" s="1" t="s">
        <v>15</v>
      </c>
      <c r="C41" s="1" t="s">
        <v>16</v>
      </c>
      <c r="D41" s="2">
        <v>3.9100000000000003E-2</v>
      </c>
      <c r="E41" s="3">
        <v>1</v>
      </c>
      <c r="F41" s="2">
        <v>8.5000000000000006E-2</v>
      </c>
      <c r="G41" s="2">
        <v>1.4999999999999999E-2</v>
      </c>
      <c r="H41" s="2" t="s">
        <v>14</v>
      </c>
      <c r="I41" s="2" t="s">
        <v>14</v>
      </c>
      <c r="J41" s="2" t="s">
        <v>14</v>
      </c>
      <c r="K41" s="2">
        <v>0</v>
      </c>
      <c r="L41" s="4">
        <v>0.03</v>
      </c>
    </row>
    <row r="42" spans="1:12" x14ac:dyDescent="0.25">
      <c r="A42" s="5">
        <v>45139</v>
      </c>
      <c r="B42" s="1" t="s">
        <v>15</v>
      </c>
      <c r="C42" s="1" t="s">
        <v>17</v>
      </c>
      <c r="D42" s="2">
        <v>3.61E-2</v>
      </c>
      <c r="E42" s="3">
        <v>1</v>
      </c>
      <c r="F42" s="2" t="s">
        <v>14</v>
      </c>
      <c r="G42" s="2">
        <v>0</v>
      </c>
      <c r="H42" s="2" t="s">
        <v>14</v>
      </c>
      <c r="I42" s="2">
        <v>0.08</v>
      </c>
      <c r="J42" s="2" t="s">
        <v>14</v>
      </c>
      <c r="K42" s="2">
        <v>0</v>
      </c>
      <c r="L42" s="4">
        <v>0.03</v>
      </c>
    </row>
    <row r="43" spans="1:12" x14ac:dyDescent="0.25">
      <c r="A43" s="5">
        <v>45139</v>
      </c>
      <c r="B43" s="1" t="s">
        <v>15</v>
      </c>
      <c r="C43" s="1" t="s">
        <v>18</v>
      </c>
      <c r="D43" s="2">
        <v>5.4600000000000003E-2</v>
      </c>
      <c r="E43" s="3">
        <v>1</v>
      </c>
      <c r="F43" s="2" t="s">
        <v>14</v>
      </c>
      <c r="G43" s="2">
        <v>0</v>
      </c>
      <c r="H43" s="2">
        <v>7.4999999999999997E-2</v>
      </c>
      <c r="I43" s="2" t="s">
        <v>14</v>
      </c>
      <c r="J43" s="2" t="s">
        <v>14</v>
      </c>
      <c r="K43" s="2">
        <v>0</v>
      </c>
      <c r="L43" s="4">
        <v>0.03</v>
      </c>
    </row>
    <row r="44" spans="1:12" x14ac:dyDescent="0.25">
      <c r="A44" s="5">
        <v>45139</v>
      </c>
      <c r="B44" s="1" t="s">
        <v>19</v>
      </c>
      <c r="C44" s="1" t="s">
        <v>13</v>
      </c>
      <c r="D44" s="2">
        <v>4.4400000000000002E-2</v>
      </c>
      <c r="E44" s="3">
        <v>1</v>
      </c>
      <c r="F44" s="2">
        <v>7.4999999999999997E-2</v>
      </c>
      <c r="G44" s="2">
        <v>0</v>
      </c>
      <c r="H44" s="2" t="s">
        <v>14</v>
      </c>
      <c r="I44" s="2" t="s">
        <v>14</v>
      </c>
      <c r="J44" s="2" t="s">
        <v>14</v>
      </c>
      <c r="K44" s="2">
        <v>0</v>
      </c>
      <c r="L44" s="4">
        <v>0.03</v>
      </c>
    </row>
    <row r="45" spans="1:12" x14ac:dyDescent="0.25">
      <c r="A45" s="5">
        <v>45139</v>
      </c>
      <c r="B45" s="1" t="s">
        <v>19</v>
      </c>
      <c r="C45" s="1" t="s">
        <v>16</v>
      </c>
      <c r="D45" s="2">
        <v>2.6800000000000001E-2</v>
      </c>
      <c r="E45" s="3">
        <v>1</v>
      </c>
      <c r="F45" s="2">
        <v>0.06</v>
      </c>
      <c r="G45" s="2">
        <v>1.4999999999999999E-2</v>
      </c>
      <c r="H45" s="2" t="s">
        <v>14</v>
      </c>
      <c r="I45" s="2" t="s">
        <v>14</v>
      </c>
      <c r="J45" s="2" t="s">
        <v>14</v>
      </c>
      <c r="K45" s="2">
        <v>0</v>
      </c>
      <c r="L45" s="4">
        <v>0.03</v>
      </c>
    </row>
    <row r="46" spans="1:12" x14ac:dyDescent="0.25">
      <c r="A46" s="5">
        <v>45139</v>
      </c>
      <c r="B46" s="1" t="s">
        <v>19</v>
      </c>
      <c r="C46" s="1" t="s">
        <v>17</v>
      </c>
      <c r="D46" s="2">
        <v>2.3599999999999999E-2</v>
      </c>
      <c r="E46" s="3">
        <v>1</v>
      </c>
      <c r="F46" s="2" t="s">
        <v>14</v>
      </c>
      <c r="G46" s="2">
        <v>0</v>
      </c>
      <c r="H46" s="2" t="s">
        <v>14</v>
      </c>
      <c r="I46" s="2">
        <v>0.09</v>
      </c>
      <c r="J46" s="2" t="s">
        <v>14</v>
      </c>
      <c r="K46" s="2">
        <v>0</v>
      </c>
      <c r="L46" s="4">
        <v>0.03</v>
      </c>
    </row>
    <row r="47" spans="1:12" x14ac:dyDescent="0.25">
      <c r="A47" s="5">
        <v>45139</v>
      </c>
      <c r="B47" s="1" t="s">
        <v>19</v>
      </c>
      <c r="C47" s="1" t="s">
        <v>18</v>
      </c>
      <c r="D47" s="2">
        <v>4.3700000000000003E-2</v>
      </c>
      <c r="E47" s="3">
        <v>1</v>
      </c>
      <c r="F47" s="2" t="s">
        <v>14</v>
      </c>
      <c r="G47" s="2">
        <v>0</v>
      </c>
      <c r="H47" s="2">
        <v>0.06</v>
      </c>
      <c r="I47" s="2" t="s">
        <v>14</v>
      </c>
      <c r="J47" s="2" t="s">
        <v>14</v>
      </c>
      <c r="K47" s="2">
        <v>0</v>
      </c>
      <c r="L47" s="4">
        <v>0.03</v>
      </c>
    </row>
    <row r="48" spans="1:12" x14ac:dyDescent="0.25">
      <c r="A48" s="5">
        <v>45139</v>
      </c>
      <c r="B48" s="1" t="s">
        <v>20</v>
      </c>
      <c r="C48" s="1" t="s">
        <v>13</v>
      </c>
      <c r="D48" s="2">
        <v>5.5599999999999997E-2</v>
      </c>
      <c r="E48" s="3">
        <v>1</v>
      </c>
      <c r="F48" s="2">
        <v>0.1</v>
      </c>
      <c r="G48" s="2">
        <v>0</v>
      </c>
      <c r="H48" s="2" t="s">
        <v>14</v>
      </c>
      <c r="I48" s="2" t="s">
        <v>14</v>
      </c>
      <c r="J48" s="2" t="s">
        <v>14</v>
      </c>
      <c r="K48" s="2">
        <v>0</v>
      </c>
      <c r="L48" s="4">
        <v>0.03</v>
      </c>
    </row>
    <row r="49" spans="1:12" x14ac:dyDescent="0.25">
      <c r="A49" s="5">
        <v>45139</v>
      </c>
      <c r="B49" s="1" t="s">
        <v>20</v>
      </c>
      <c r="C49" s="1" t="s">
        <v>17</v>
      </c>
      <c r="D49" s="2">
        <v>3.61E-2</v>
      </c>
      <c r="E49" s="3">
        <v>1</v>
      </c>
      <c r="F49" s="2" t="s">
        <v>14</v>
      </c>
      <c r="G49" s="2">
        <v>0</v>
      </c>
      <c r="H49" s="2" t="s">
        <v>14</v>
      </c>
      <c r="I49" s="2">
        <v>0.08</v>
      </c>
      <c r="J49" s="2" t="s">
        <v>14</v>
      </c>
      <c r="K49" s="2">
        <v>0</v>
      </c>
      <c r="L49" s="4">
        <v>0.03</v>
      </c>
    </row>
    <row r="50" spans="1:12" x14ac:dyDescent="0.25">
      <c r="A50" s="5">
        <v>45139</v>
      </c>
      <c r="B50" s="1" t="s">
        <v>20</v>
      </c>
      <c r="C50" s="1" t="s">
        <v>21</v>
      </c>
      <c r="D50" s="2">
        <v>6.2600000000000003E-2</v>
      </c>
      <c r="E50" s="3">
        <v>1</v>
      </c>
      <c r="F50" s="2">
        <v>0.12</v>
      </c>
      <c r="G50" s="2">
        <v>0</v>
      </c>
      <c r="H50" s="2" t="s">
        <v>14</v>
      </c>
      <c r="I50" s="2" t="s">
        <v>14</v>
      </c>
      <c r="J50" s="2">
        <v>4.1500000000000002E-2</v>
      </c>
      <c r="K50" s="2">
        <v>0.6</v>
      </c>
      <c r="L50" s="4">
        <v>0.03</v>
      </c>
    </row>
    <row r="51" spans="1:12" x14ac:dyDescent="0.25">
      <c r="A51" s="5">
        <v>45139</v>
      </c>
      <c r="B51" s="1" t="s">
        <v>20</v>
      </c>
      <c r="C51" s="1" t="s">
        <v>22</v>
      </c>
      <c r="D51" s="2">
        <v>6.2600000000000003E-2</v>
      </c>
      <c r="E51" s="3">
        <v>1</v>
      </c>
      <c r="F51" s="2">
        <v>0.12</v>
      </c>
      <c r="G51" s="2">
        <v>0</v>
      </c>
      <c r="H51" s="2" t="s">
        <v>14</v>
      </c>
      <c r="I51" s="2" t="s">
        <v>14</v>
      </c>
      <c r="J51" s="2">
        <v>2.1499999999999998E-2</v>
      </c>
      <c r="K51" s="2">
        <v>0.24</v>
      </c>
      <c r="L51" s="4">
        <v>0.03</v>
      </c>
    </row>
    <row r="52" spans="1:12" x14ac:dyDescent="0.25">
      <c r="A52" s="5">
        <v>45139</v>
      </c>
      <c r="B52" s="1" t="s">
        <v>23</v>
      </c>
      <c r="C52" s="1" t="s">
        <v>24</v>
      </c>
      <c r="D52" s="2">
        <v>2.4299999999999999E-2</v>
      </c>
      <c r="E52" s="3">
        <v>2.4</v>
      </c>
      <c r="F52" s="2" t="s">
        <v>14</v>
      </c>
      <c r="G52" s="2">
        <v>0</v>
      </c>
      <c r="H52" s="2" t="s">
        <v>14</v>
      </c>
      <c r="I52" s="2" t="s">
        <v>14</v>
      </c>
      <c r="J52" s="2" t="s">
        <v>14</v>
      </c>
      <c r="K52" s="2">
        <v>0</v>
      </c>
      <c r="L52" s="4">
        <v>0.03</v>
      </c>
    </row>
    <row r="53" spans="1:12" x14ac:dyDescent="0.25">
      <c r="A53" s="5">
        <v>45139</v>
      </c>
      <c r="B53" s="1" t="s">
        <v>23</v>
      </c>
      <c r="C53" s="1" t="s">
        <v>25</v>
      </c>
      <c r="D53" s="2">
        <v>5.4663658625432522E-2</v>
      </c>
      <c r="E53" s="3">
        <v>1</v>
      </c>
      <c r="F53" s="2">
        <v>0.105</v>
      </c>
      <c r="G53" s="2">
        <v>0</v>
      </c>
      <c r="H53" s="2" t="s">
        <v>14</v>
      </c>
      <c r="I53" s="2" t="s">
        <v>14</v>
      </c>
      <c r="J53" s="2" t="s">
        <v>14</v>
      </c>
      <c r="K53" s="2">
        <v>0</v>
      </c>
      <c r="L53" s="4">
        <v>0.03</v>
      </c>
    </row>
    <row r="54" spans="1:12" x14ac:dyDescent="0.25">
      <c r="A54" s="5">
        <v>45139</v>
      </c>
      <c r="B54" s="1" t="s">
        <v>23</v>
      </c>
      <c r="C54" s="1" t="s">
        <v>13</v>
      </c>
      <c r="D54" s="2">
        <v>5.7500000000000002E-2</v>
      </c>
      <c r="E54" s="3">
        <v>1</v>
      </c>
      <c r="F54" s="2">
        <v>0.105</v>
      </c>
      <c r="G54" s="2">
        <v>0</v>
      </c>
      <c r="H54" s="2" t="s">
        <v>14</v>
      </c>
      <c r="I54" s="2" t="s">
        <v>14</v>
      </c>
      <c r="J54" s="2" t="s">
        <v>14</v>
      </c>
      <c r="K54" s="2">
        <v>0</v>
      </c>
      <c r="L54" s="4">
        <v>0.03</v>
      </c>
    </row>
    <row r="55" spans="1:12" x14ac:dyDescent="0.25">
      <c r="A55" s="5">
        <v>45139</v>
      </c>
      <c r="B55" s="1" t="s">
        <v>23</v>
      </c>
      <c r="C55" s="1" t="s">
        <v>17</v>
      </c>
      <c r="D55" s="2">
        <v>3.61E-2</v>
      </c>
      <c r="E55" s="3">
        <v>1</v>
      </c>
      <c r="F55" s="2" t="s">
        <v>14</v>
      </c>
      <c r="G55" s="2">
        <v>0</v>
      </c>
      <c r="H55" s="2" t="s">
        <v>14</v>
      </c>
      <c r="I55" s="2">
        <v>0.08</v>
      </c>
      <c r="J55" s="2" t="s">
        <v>14</v>
      </c>
      <c r="K55" s="2">
        <v>0</v>
      </c>
      <c r="L55" s="4">
        <v>0.03</v>
      </c>
    </row>
    <row r="56" spans="1:12" x14ac:dyDescent="0.25">
      <c r="A56" s="5">
        <v>45139</v>
      </c>
      <c r="B56" s="1" t="s">
        <v>23</v>
      </c>
      <c r="C56" s="1" t="s">
        <v>21</v>
      </c>
      <c r="D56" s="2">
        <v>6.2600000000000003E-2</v>
      </c>
      <c r="E56" s="3">
        <v>1</v>
      </c>
      <c r="F56" s="2">
        <v>0.12</v>
      </c>
      <c r="G56" s="2">
        <v>0</v>
      </c>
      <c r="H56" s="2" t="s">
        <v>14</v>
      </c>
      <c r="I56" s="2" t="s">
        <v>14</v>
      </c>
      <c r="J56" s="2">
        <v>4.1500000000000002E-2</v>
      </c>
      <c r="K56" s="2">
        <v>0.6</v>
      </c>
      <c r="L56" s="4">
        <v>0.03</v>
      </c>
    </row>
    <row r="57" spans="1:12" x14ac:dyDescent="0.25">
      <c r="A57" s="5">
        <v>45139</v>
      </c>
      <c r="B57" s="1" t="s">
        <v>23</v>
      </c>
      <c r="C57" s="1" t="s">
        <v>22</v>
      </c>
      <c r="D57" s="2">
        <v>6.2600000000000003E-2</v>
      </c>
      <c r="E57" s="3">
        <v>1</v>
      </c>
      <c r="F57" s="2">
        <v>0.12</v>
      </c>
      <c r="G57" s="2">
        <v>0</v>
      </c>
      <c r="H57" s="2" t="s">
        <v>14</v>
      </c>
      <c r="I57" s="2" t="s">
        <v>14</v>
      </c>
      <c r="J57" s="2">
        <v>2.1499999999999998E-2</v>
      </c>
      <c r="K57" s="2">
        <v>0.24</v>
      </c>
      <c r="L57" s="4">
        <v>0.03</v>
      </c>
    </row>
    <row r="58" spans="1:12" x14ac:dyDescent="0.25">
      <c r="A58" s="5">
        <v>45139</v>
      </c>
      <c r="B58" s="1" t="s">
        <v>26</v>
      </c>
      <c r="C58" s="1" t="s">
        <v>24</v>
      </c>
      <c r="D58" s="2">
        <v>2.4203333486160827E-2</v>
      </c>
      <c r="E58" s="3">
        <v>2.4</v>
      </c>
      <c r="F58" s="2" t="s">
        <v>14</v>
      </c>
      <c r="G58" s="2">
        <v>0</v>
      </c>
      <c r="H58" s="2" t="s">
        <v>14</v>
      </c>
      <c r="I58" s="2" t="s">
        <v>14</v>
      </c>
      <c r="J58" s="2" t="s">
        <v>14</v>
      </c>
      <c r="K58" s="2">
        <v>0</v>
      </c>
      <c r="L58" s="4">
        <v>0.03</v>
      </c>
    </row>
    <row r="59" spans="1:12" x14ac:dyDescent="0.25">
      <c r="A59" s="5">
        <v>45139</v>
      </c>
      <c r="B59" s="1" t="s">
        <v>26</v>
      </c>
      <c r="C59" s="1" t="s">
        <v>25</v>
      </c>
      <c r="D59" s="2">
        <v>5.3699999999999998E-2</v>
      </c>
      <c r="E59" s="3">
        <v>1</v>
      </c>
      <c r="F59" s="2">
        <v>0.10249999999999999</v>
      </c>
      <c r="G59" s="2">
        <v>0</v>
      </c>
      <c r="H59" s="2" t="s">
        <v>14</v>
      </c>
      <c r="I59" s="2" t="s">
        <v>14</v>
      </c>
      <c r="J59" s="2" t="s">
        <v>14</v>
      </c>
      <c r="K59" s="2">
        <v>0</v>
      </c>
      <c r="L59" s="4">
        <v>0.03</v>
      </c>
    </row>
    <row r="60" spans="1:12" x14ac:dyDescent="0.25">
      <c r="A60" s="5">
        <v>45139</v>
      </c>
      <c r="B60" s="1" t="s">
        <v>26</v>
      </c>
      <c r="C60" s="1" t="s">
        <v>13</v>
      </c>
      <c r="D60" s="2">
        <v>5.6599999999999998E-2</v>
      </c>
      <c r="E60" s="3">
        <v>1</v>
      </c>
      <c r="F60" s="2">
        <v>0.10249999999999999</v>
      </c>
      <c r="G60" s="2">
        <v>0</v>
      </c>
      <c r="H60" s="2" t="s">
        <v>14</v>
      </c>
      <c r="I60" s="2" t="s">
        <v>14</v>
      </c>
      <c r="J60" s="2" t="s">
        <v>14</v>
      </c>
      <c r="K60" s="2">
        <v>0</v>
      </c>
      <c r="L60" s="4">
        <v>0.03</v>
      </c>
    </row>
    <row r="61" spans="1:12" x14ac:dyDescent="0.25">
      <c r="A61" s="5">
        <v>45139</v>
      </c>
      <c r="B61" s="1" t="s">
        <v>26</v>
      </c>
      <c r="C61" s="1" t="s">
        <v>17</v>
      </c>
      <c r="D61" s="2">
        <v>3.61E-2</v>
      </c>
      <c r="E61" s="3">
        <v>1</v>
      </c>
      <c r="F61" s="2" t="s">
        <v>14</v>
      </c>
      <c r="G61" s="2">
        <v>0</v>
      </c>
      <c r="H61" s="2" t="s">
        <v>14</v>
      </c>
      <c r="I61" s="2">
        <v>0.08</v>
      </c>
      <c r="J61" s="2" t="s">
        <v>14</v>
      </c>
      <c r="K61" s="2">
        <v>0</v>
      </c>
      <c r="L61" s="4">
        <v>0.03</v>
      </c>
    </row>
    <row r="62" spans="1:12" x14ac:dyDescent="0.25">
      <c r="A62" s="5">
        <v>45139</v>
      </c>
      <c r="B62" s="1" t="s">
        <v>26</v>
      </c>
      <c r="C62" s="1" t="s">
        <v>21</v>
      </c>
      <c r="D62" s="2">
        <v>6.2600000000000003E-2</v>
      </c>
      <c r="E62" s="3">
        <v>1</v>
      </c>
      <c r="F62" s="2">
        <v>0.12</v>
      </c>
      <c r="G62" s="2">
        <v>0</v>
      </c>
      <c r="H62" s="2" t="s">
        <v>14</v>
      </c>
      <c r="I62" s="2" t="s">
        <v>14</v>
      </c>
      <c r="J62" s="2">
        <v>4.1500000000000002E-2</v>
      </c>
      <c r="K62" s="2">
        <v>0.6</v>
      </c>
      <c r="L62" s="4">
        <v>0.03</v>
      </c>
    </row>
    <row r="63" spans="1:12" x14ac:dyDescent="0.25">
      <c r="A63" s="5">
        <v>45139</v>
      </c>
      <c r="B63" s="1" t="s">
        <v>26</v>
      </c>
      <c r="C63" s="1" t="s">
        <v>22</v>
      </c>
      <c r="D63" s="2">
        <v>6.2600000000000003E-2</v>
      </c>
      <c r="E63" s="3">
        <v>1</v>
      </c>
      <c r="F63" s="2">
        <v>0.12</v>
      </c>
      <c r="G63" s="2">
        <v>0</v>
      </c>
      <c r="H63" s="2" t="s">
        <v>14</v>
      </c>
      <c r="I63" s="2" t="s">
        <v>14</v>
      </c>
      <c r="J63" s="2">
        <v>2.1499999999999998E-2</v>
      </c>
      <c r="K63" s="2">
        <v>0.24</v>
      </c>
      <c r="L63" s="4">
        <v>0.03</v>
      </c>
    </row>
    <row r="64" spans="1:12" x14ac:dyDescent="0.25">
      <c r="A64" s="5">
        <v>45139</v>
      </c>
      <c r="B64" s="1" t="s">
        <v>27</v>
      </c>
      <c r="C64" s="1" t="s">
        <v>13</v>
      </c>
      <c r="D64" s="2">
        <v>5.3521026957656169E-2</v>
      </c>
      <c r="E64" s="3">
        <v>1</v>
      </c>
      <c r="F64" s="2">
        <v>9.5000000000000001E-2</v>
      </c>
      <c r="G64" s="2">
        <v>0</v>
      </c>
      <c r="H64" s="2" t="s">
        <v>14</v>
      </c>
      <c r="I64" s="2" t="s">
        <v>14</v>
      </c>
      <c r="J64" s="2" t="s">
        <v>14</v>
      </c>
      <c r="K64" s="2">
        <v>0</v>
      </c>
      <c r="L64" s="4">
        <v>0.03</v>
      </c>
    </row>
    <row r="65" spans="1:12" x14ac:dyDescent="0.25">
      <c r="A65" s="5">
        <v>45139</v>
      </c>
      <c r="B65" s="1" t="s">
        <v>27</v>
      </c>
      <c r="C65" s="1" t="s">
        <v>17</v>
      </c>
      <c r="D65" s="2">
        <v>3.1542352833135244E-2</v>
      </c>
      <c r="E65" s="3">
        <v>1</v>
      </c>
      <c r="F65" s="2" t="s">
        <v>14</v>
      </c>
      <c r="G65" s="2">
        <v>0</v>
      </c>
      <c r="H65" s="2" t="s">
        <v>14</v>
      </c>
      <c r="I65" s="2">
        <v>0.09</v>
      </c>
      <c r="J65" s="2" t="s">
        <v>14</v>
      </c>
      <c r="K65" s="2">
        <v>0</v>
      </c>
      <c r="L65" s="4">
        <v>0.03</v>
      </c>
    </row>
    <row r="66" spans="1:12" x14ac:dyDescent="0.25">
      <c r="A66" s="5">
        <v>45139</v>
      </c>
      <c r="B66" s="1" t="s">
        <v>27</v>
      </c>
      <c r="C66" s="1" t="s">
        <v>24</v>
      </c>
      <c r="D66" s="2">
        <v>2.2141477816057735E-2</v>
      </c>
      <c r="E66" s="3">
        <v>2.2000000000000002</v>
      </c>
      <c r="F66" s="2" t="s">
        <v>14</v>
      </c>
      <c r="G66" s="2">
        <v>0</v>
      </c>
      <c r="H66" s="2" t="s">
        <v>14</v>
      </c>
      <c r="I66" s="2" t="s">
        <v>14</v>
      </c>
      <c r="J66" s="2" t="s">
        <v>14</v>
      </c>
      <c r="K66" s="2">
        <v>0</v>
      </c>
      <c r="L66" s="4">
        <v>0.03</v>
      </c>
    </row>
    <row r="67" spans="1:12" x14ac:dyDescent="0.25">
      <c r="A67" s="5">
        <v>45139</v>
      </c>
      <c r="B67" s="1" t="s">
        <v>27</v>
      </c>
      <c r="C67" s="1" t="s">
        <v>25</v>
      </c>
      <c r="D67" s="2">
        <v>5.0470133160382728E-2</v>
      </c>
      <c r="E67" s="3">
        <v>1</v>
      </c>
      <c r="F67" s="2">
        <v>9.5000000000000001E-2</v>
      </c>
      <c r="G67" s="2">
        <v>0</v>
      </c>
      <c r="H67" s="2" t="s">
        <v>14</v>
      </c>
      <c r="I67" s="2" t="s">
        <v>14</v>
      </c>
      <c r="J67" s="2" t="s">
        <v>14</v>
      </c>
      <c r="K67" s="2">
        <v>0</v>
      </c>
      <c r="L67" s="4">
        <v>0.03</v>
      </c>
    </row>
    <row r="68" spans="1:12" x14ac:dyDescent="0.25">
      <c r="A68" s="5">
        <v>45139</v>
      </c>
      <c r="B68" s="1" t="s">
        <v>28</v>
      </c>
      <c r="C68" s="1" t="s">
        <v>13</v>
      </c>
      <c r="D68" s="2">
        <v>4.9099999999999998E-2</v>
      </c>
      <c r="E68" s="3">
        <v>1</v>
      </c>
      <c r="F68" s="2">
        <v>8.5000000000000006E-2</v>
      </c>
      <c r="G68" s="2">
        <v>0</v>
      </c>
      <c r="H68" s="2" t="s">
        <v>14</v>
      </c>
      <c r="I68" s="2" t="s">
        <v>14</v>
      </c>
      <c r="J68" s="2" t="s">
        <v>14</v>
      </c>
      <c r="K68" s="2">
        <v>0</v>
      </c>
      <c r="L68" s="4">
        <v>0.03</v>
      </c>
    </row>
    <row r="69" spans="1:12" x14ac:dyDescent="0.25">
      <c r="A69" s="5">
        <v>45139</v>
      </c>
      <c r="B69" s="1" t="s">
        <v>28</v>
      </c>
      <c r="C69" s="1" t="s">
        <v>16</v>
      </c>
      <c r="D69" s="2">
        <v>2.9399999999999999E-2</v>
      </c>
      <c r="E69" s="3">
        <v>1</v>
      </c>
      <c r="F69" s="2">
        <v>6.5000000000000002E-2</v>
      </c>
      <c r="G69" s="2">
        <v>1.4999999999999999E-2</v>
      </c>
      <c r="H69" s="2" t="s">
        <v>14</v>
      </c>
      <c r="I69" s="2" t="s">
        <v>14</v>
      </c>
      <c r="J69" s="2" t="s">
        <v>14</v>
      </c>
      <c r="K69" s="2">
        <v>0</v>
      </c>
      <c r="L69" s="4">
        <v>0.03</v>
      </c>
    </row>
    <row r="70" spans="1:12" x14ac:dyDescent="0.25">
      <c r="A70" s="5">
        <v>45139</v>
      </c>
      <c r="B70" s="1" t="s">
        <v>28</v>
      </c>
      <c r="C70" s="1" t="s">
        <v>17</v>
      </c>
      <c r="D70" s="2">
        <v>3.73E-2</v>
      </c>
      <c r="E70" s="3">
        <v>1</v>
      </c>
      <c r="F70" s="2" t="s">
        <v>14</v>
      </c>
      <c r="G70" s="2">
        <v>0</v>
      </c>
      <c r="H70" s="2" t="s">
        <v>14</v>
      </c>
      <c r="I70" s="2">
        <v>7.7499999999999999E-2</v>
      </c>
      <c r="J70" s="2" t="s">
        <v>14</v>
      </c>
      <c r="K70" s="2">
        <v>0</v>
      </c>
      <c r="L70" s="4">
        <v>0.03</v>
      </c>
    </row>
    <row r="71" spans="1:12" x14ac:dyDescent="0.25">
      <c r="A71" s="5">
        <v>45139</v>
      </c>
      <c r="B71" s="1" t="s">
        <v>28</v>
      </c>
      <c r="C71" s="1" t="s">
        <v>18</v>
      </c>
      <c r="D71" s="2">
        <v>5.0599999999999999E-2</v>
      </c>
      <c r="E71" s="3">
        <v>1</v>
      </c>
      <c r="F71" s="2" t="s">
        <v>14</v>
      </c>
      <c r="G71" s="2">
        <v>0</v>
      </c>
      <c r="H71" s="2">
        <v>6.9500000000000006E-2</v>
      </c>
      <c r="I71" s="2" t="s">
        <v>14</v>
      </c>
      <c r="J71" s="2" t="s">
        <v>14</v>
      </c>
      <c r="K71" s="2">
        <v>0</v>
      </c>
      <c r="L71" s="4">
        <v>0.03</v>
      </c>
    </row>
    <row r="72" spans="1:12" x14ac:dyDescent="0.25">
      <c r="A72" s="5">
        <v>45139</v>
      </c>
      <c r="B72" s="1" t="s">
        <v>29</v>
      </c>
      <c r="C72" s="1" t="s">
        <v>13</v>
      </c>
      <c r="D72" s="2">
        <v>4.4400000000000002E-2</v>
      </c>
      <c r="E72" s="3">
        <v>1</v>
      </c>
      <c r="F72" s="2">
        <v>7.4999999999999997E-2</v>
      </c>
      <c r="G72" s="2">
        <v>0</v>
      </c>
      <c r="H72" s="2" t="s">
        <v>14</v>
      </c>
      <c r="I72" s="2" t="s">
        <v>14</v>
      </c>
      <c r="J72" s="2" t="s">
        <v>14</v>
      </c>
      <c r="K72" s="2">
        <v>0</v>
      </c>
      <c r="L72" s="4">
        <v>0.03</v>
      </c>
    </row>
    <row r="73" spans="1:12" x14ac:dyDescent="0.25">
      <c r="A73" s="5">
        <v>45139</v>
      </c>
      <c r="B73" s="1" t="s">
        <v>29</v>
      </c>
      <c r="C73" s="1" t="s">
        <v>16</v>
      </c>
      <c r="D73" s="2">
        <v>2.1299999999999999E-2</v>
      </c>
      <c r="E73" s="3">
        <v>1</v>
      </c>
      <c r="F73" s="2">
        <v>0.05</v>
      </c>
      <c r="G73" s="2">
        <v>1.4999999999999999E-2</v>
      </c>
      <c r="H73" s="2" t="s">
        <v>14</v>
      </c>
      <c r="I73" s="2" t="s">
        <v>14</v>
      </c>
      <c r="J73" s="2" t="s">
        <v>14</v>
      </c>
      <c r="K73" s="2">
        <v>0</v>
      </c>
      <c r="L73" s="4">
        <v>0.03</v>
      </c>
    </row>
    <row r="74" spans="1:12" x14ac:dyDescent="0.25">
      <c r="A74" s="5">
        <v>45139</v>
      </c>
      <c r="B74" s="1" t="s">
        <v>29</v>
      </c>
      <c r="C74" s="1" t="s">
        <v>17</v>
      </c>
      <c r="D74" s="2">
        <v>3.2199999999999999E-2</v>
      </c>
      <c r="E74" s="3">
        <v>1</v>
      </c>
      <c r="F74" s="2" t="s">
        <v>14</v>
      </c>
      <c r="G74" s="2">
        <v>0</v>
      </c>
      <c r="H74" s="2" t="s">
        <v>14</v>
      </c>
      <c r="I74" s="2">
        <v>8.8499999999999995E-2</v>
      </c>
      <c r="J74" s="2" t="s">
        <v>14</v>
      </c>
      <c r="K74" s="2">
        <v>0</v>
      </c>
      <c r="L74" s="4">
        <v>0.03</v>
      </c>
    </row>
    <row r="75" spans="1:12" x14ac:dyDescent="0.25">
      <c r="A75" s="5">
        <v>45139</v>
      </c>
      <c r="B75" s="1" t="s">
        <v>29</v>
      </c>
      <c r="C75" s="1" t="s">
        <v>18</v>
      </c>
      <c r="D75" s="2">
        <v>4.3299999999999998E-2</v>
      </c>
      <c r="E75" s="3">
        <v>1</v>
      </c>
      <c r="F75" s="2" t="s">
        <v>14</v>
      </c>
      <c r="G75" s="2">
        <v>0</v>
      </c>
      <c r="H75" s="2">
        <v>5.9499999999999997E-2</v>
      </c>
      <c r="I75" s="2" t="s">
        <v>14</v>
      </c>
      <c r="J75" s="2" t="s">
        <v>14</v>
      </c>
      <c r="K75" s="2">
        <v>0</v>
      </c>
      <c r="L75" s="4">
        <v>0.03</v>
      </c>
    </row>
    <row r="76" spans="1:12" x14ac:dyDescent="0.25">
      <c r="A76" s="5">
        <v>45170</v>
      </c>
      <c r="B76" s="1" t="s">
        <v>12</v>
      </c>
      <c r="C76" s="1" t="s">
        <v>13</v>
      </c>
      <c r="D76" s="2">
        <v>5.4399999999999997E-2</v>
      </c>
      <c r="E76" s="3">
        <v>1</v>
      </c>
      <c r="F76" s="2">
        <v>0.1</v>
      </c>
      <c r="G76" s="2">
        <v>0</v>
      </c>
      <c r="H76" s="2" t="s">
        <v>14</v>
      </c>
      <c r="I76" s="2" t="s">
        <v>14</v>
      </c>
      <c r="J76" s="2" t="s">
        <v>14</v>
      </c>
      <c r="K76" s="2">
        <v>0</v>
      </c>
      <c r="L76" s="4">
        <v>0.03</v>
      </c>
    </row>
    <row r="77" spans="1:12" x14ac:dyDescent="0.25">
      <c r="A77" s="5">
        <v>45170</v>
      </c>
      <c r="B77" s="1" t="s">
        <v>15</v>
      </c>
      <c r="C77" s="1" t="s">
        <v>13</v>
      </c>
      <c r="D77" s="2">
        <v>5.4399999999999997E-2</v>
      </c>
      <c r="E77" s="3">
        <v>1</v>
      </c>
      <c r="F77" s="2">
        <v>0.1</v>
      </c>
      <c r="G77" s="2">
        <v>0</v>
      </c>
      <c r="H77" s="2" t="s">
        <v>14</v>
      </c>
      <c r="I77" s="2" t="s">
        <v>14</v>
      </c>
      <c r="J77" s="2" t="s">
        <v>14</v>
      </c>
      <c r="K77" s="2">
        <v>0</v>
      </c>
      <c r="L77" s="4">
        <v>0.03</v>
      </c>
    </row>
    <row r="78" spans="1:12" x14ac:dyDescent="0.25">
      <c r="A78" s="5">
        <v>45170</v>
      </c>
      <c r="B78" s="1" t="s">
        <v>15</v>
      </c>
      <c r="C78" s="1" t="s">
        <v>16</v>
      </c>
      <c r="D78" s="2">
        <v>3.9E-2</v>
      </c>
      <c r="E78" s="3">
        <v>1</v>
      </c>
      <c r="F78" s="2">
        <v>8.5000000000000006E-2</v>
      </c>
      <c r="G78" s="2">
        <v>1.4999999999999999E-2</v>
      </c>
      <c r="H78" s="2" t="s">
        <v>14</v>
      </c>
      <c r="I78" s="2" t="s">
        <v>14</v>
      </c>
      <c r="J78" s="2" t="s">
        <v>14</v>
      </c>
      <c r="K78" s="2">
        <v>0</v>
      </c>
      <c r="L78" s="4">
        <v>0.03</v>
      </c>
    </row>
    <row r="79" spans="1:12" x14ac:dyDescent="0.25">
      <c r="A79" s="5">
        <v>45170</v>
      </c>
      <c r="B79" s="1" t="s">
        <v>15</v>
      </c>
      <c r="C79" s="1" t="s">
        <v>17</v>
      </c>
      <c r="D79" s="2">
        <v>4.5100000000000001E-2</v>
      </c>
      <c r="E79" s="3">
        <v>1</v>
      </c>
      <c r="F79" s="2" t="s">
        <v>14</v>
      </c>
      <c r="G79" s="2">
        <v>0</v>
      </c>
      <c r="H79" s="2" t="s">
        <v>14</v>
      </c>
      <c r="I79" s="2">
        <v>0.08</v>
      </c>
      <c r="J79" s="2" t="s">
        <v>14</v>
      </c>
      <c r="K79" s="2">
        <v>0</v>
      </c>
      <c r="L79" s="4">
        <v>0.03</v>
      </c>
    </row>
    <row r="80" spans="1:12" x14ac:dyDescent="0.25">
      <c r="A80" s="5">
        <v>45170</v>
      </c>
      <c r="B80" s="1" t="s">
        <v>15</v>
      </c>
      <c r="C80" s="1" t="s">
        <v>18</v>
      </c>
      <c r="D80" s="2">
        <v>5.3100000000000001E-2</v>
      </c>
      <c r="E80" s="3">
        <v>1</v>
      </c>
      <c r="F80" s="2" t="s">
        <v>14</v>
      </c>
      <c r="G80" s="2">
        <v>0</v>
      </c>
      <c r="H80" s="2">
        <v>7.4999999999999997E-2</v>
      </c>
      <c r="I80" s="2" t="s">
        <v>14</v>
      </c>
      <c r="J80" s="2" t="s">
        <v>14</v>
      </c>
      <c r="K80" s="2">
        <v>0</v>
      </c>
      <c r="L80" s="4">
        <v>0.03</v>
      </c>
    </row>
    <row r="81" spans="1:12" x14ac:dyDescent="0.25">
      <c r="A81" s="5">
        <v>45170</v>
      </c>
      <c r="B81" s="1" t="s">
        <v>19</v>
      </c>
      <c r="C81" s="1" t="s">
        <v>13</v>
      </c>
      <c r="D81" s="2">
        <v>4.2500000000000003E-2</v>
      </c>
      <c r="E81" s="3">
        <v>1</v>
      </c>
      <c r="F81" s="2">
        <v>7.4999999999999997E-2</v>
      </c>
      <c r="G81" s="2">
        <v>0</v>
      </c>
      <c r="H81" s="2" t="s">
        <v>14</v>
      </c>
      <c r="I81" s="2" t="s">
        <v>14</v>
      </c>
      <c r="J81" s="2" t="s">
        <v>14</v>
      </c>
      <c r="K81" s="2">
        <v>0</v>
      </c>
      <c r="L81" s="4">
        <v>0.03</v>
      </c>
    </row>
    <row r="82" spans="1:12" x14ac:dyDescent="0.25">
      <c r="A82" s="5">
        <v>45170</v>
      </c>
      <c r="B82" s="1" t="s">
        <v>19</v>
      </c>
      <c r="C82" s="1" t="s">
        <v>16</v>
      </c>
      <c r="D82" s="2">
        <v>2.64E-2</v>
      </c>
      <c r="E82" s="3">
        <v>1</v>
      </c>
      <c r="F82" s="2">
        <v>0.06</v>
      </c>
      <c r="G82" s="2">
        <v>1.4999999999999999E-2</v>
      </c>
      <c r="H82" s="2" t="s">
        <v>14</v>
      </c>
      <c r="I82" s="2" t="s">
        <v>14</v>
      </c>
      <c r="J82" s="2" t="s">
        <v>14</v>
      </c>
      <c r="K82" s="2">
        <v>0</v>
      </c>
      <c r="L82" s="4">
        <v>0.03</v>
      </c>
    </row>
    <row r="83" spans="1:12" x14ac:dyDescent="0.25">
      <c r="A83" s="5">
        <v>45170</v>
      </c>
      <c r="B83" s="1" t="s">
        <v>19</v>
      </c>
      <c r="C83" s="1" t="s">
        <v>17</v>
      </c>
      <c r="D83" s="2">
        <v>3.1800000000000002E-2</v>
      </c>
      <c r="E83" s="3">
        <v>1</v>
      </c>
      <c r="F83" s="2" t="s">
        <v>14</v>
      </c>
      <c r="G83" s="2">
        <v>0</v>
      </c>
      <c r="H83" s="2" t="s">
        <v>14</v>
      </c>
      <c r="I83" s="2">
        <v>0.09</v>
      </c>
      <c r="J83" s="2" t="s">
        <v>14</v>
      </c>
      <c r="K83" s="2">
        <v>0</v>
      </c>
      <c r="L83" s="4">
        <v>0.03</v>
      </c>
    </row>
    <row r="84" spans="1:12" x14ac:dyDescent="0.25">
      <c r="A84" s="5">
        <v>45170</v>
      </c>
      <c r="B84" s="1" t="s">
        <v>19</v>
      </c>
      <c r="C84" s="1" t="s">
        <v>18</v>
      </c>
      <c r="D84" s="2">
        <v>4.2500000000000003E-2</v>
      </c>
      <c r="E84" s="3">
        <v>1</v>
      </c>
      <c r="F84" s="2" t="s">
        <v>14</v>
      </c>
      <c r="G84" s="2">
        <v>0</v>
      </c>
      <c r="H84" s="2">
        <v>0.06</v>
      </c>
      <c r="I84" s="2" t="s">
        <v>14</v>
      </c>
      <c r="J84" s="2" t="s">
        <v>14</v>
      </c>
      <c r="K84" s="2">
        <v>0</v>
      </c>
      <c r="L84" s="4">
        <v>0.03</v>
      </c>
    </row>
    <row r="85" spans="1:12" x14ac:dyDescent="0.25">
      <c r="A85" s="5">
        <v>45170</v>
      </c>
      <c r="B85" s="1" t="s">
        <v>20</v>
      </c>
      <c r="C85" s="1" t="s">
        <v>13</v>
      </c>
      <c r="D85" s="2">
        <v>5.4399999999999997E-2</v>
      </c>
      <c r="E85" s="3">
        <v>1</v>
      </c>
      <c r="F85" s="2">
        <v>0.1</v>
      </c>
      <c r="G85" s="2">
        <v>0</v>
      </c>
      <c r="H85" s="2" t="s">
        <v>14</v>
      </c>
      <c r="I85" s="2" t="s">
        <v>14</v>
      </c>
      <c r="J85" s="2" t="s">
        <v>14</v>
      </c>
      <c r="K85" s="2">
        <v>0</v>
      </c>
      <c r="L85" s="4">
        <v>0.03</v>
      </c>
    </row>
    <row r="86" spans="1:12" x14ac:dyDescent="0.25">
      <c r="A86" s="5">
        <v>45170</v>
      </c>
      <c r="B86" s="1" t="s">
        <v>20</v>
      </c>
      <c r="C86" s="1" t="s">
        <v>17</v>
      </c>
      <c r="D86" s="2">
        <v>4.5100000000000001E-2</v>
      </c>
      <c r="E86" s="3">
        <v>1</v>
      </c>
      <c r="F86" s="2" t="s">
        <v>14</v>
      </c>
      <c r="G86" s="2">
        <v>0</v>
      </c>
      <c r="H86" s="2" t="s">
        <v>14</v>
      </c>
      <c r="I86" s="2">
        <v>0.08</v>
      </c>
      <c r="J86" s="2" t="s">
        <v>14</v>
      </c>
      <c r="K86" s="2">
        <v>0</v>
      </c>
      <c r="L86" s="4">
        <v>0.03</v>
      </c>
    </row>
    <row r="87" spans="1:12" x14ac:dyDescent="0.25">
      <c r="A87" s="5">
        <v>45170</v>
      </c>
      <c r="B87" s="1" t="s">
        <v>20</v>
      </c>
      <c r="C87" s="1" t="s">
        <v>21</v>
      </c>
      <c r="D87" s="2">
        <v>6.3399999999999998E-2</v>
      </c>
      <c r="E87" s="3">
        <v>1</v>
      </c>
      <c r="F87" s="2">
        <v>0.12</v>
      </c>
      <c r="G87" s="2">
        <v>0</v>
      </c>
      <c r="H87" s="2" t="s">
        <v>14</v>
      </c>
      <c r="I87" s="2" t="s">
        <v>14</v>
      </c>
      <c r="J87" s="2">
        <v>4.1500000000000002E-2</v>
      </c>
      <c r="K87" s="2">
        <v>0.6</v>
      </c>
      <c r="L87" s="4">
        <v>0.03</v>
      </c>
    </row>
    <row r="88" spans="1:12" x14ac:dyDescent="0.25">
      <c r="A88" s="5">
        <v>45170</v>
      </c>
      <c r="B88" s="1" t="s">
        <v>20</v>
      </c>
      <c r="C88" s="1" t="s">
        <v>22</v>
      </c>
      <c r="D88" s="2">
        <v>6.3399999999999998E-2</v>
      </c>
      <c r="E88" s="3">
        <v>1</v>
      </c>
      <c r="F88" s="2">
        <v>0.12</v>
      </c>
      <c r="G88" s="2">
        <v>0</v>
      </c>
      <c r="H88" s="2" t="s">
        <v>14</v>
      </c>
      <c r="I88" s="2" t="s">
        <v>14</v>
      </c>
      <c r="J88" s="2">
        <v>2.1499999999999998E-2</v>
      </c>
      <c r="K88" s="2">
        <v>0.24</v>
      </c>
      <c r="L88" s="4">
        <v>0.03</v>
      </c>
    </row>
    <row r="89" spans="1:12" x14ac:dyDescent="0.25">
      <c r="A89" s="5">
        <v>45170</v>
      </c>
      <c r="B89" s="1" t="s">
        <v>23</v>
      </c>
      <c r="C89" s="1" t="s">
        <v>24</v>
      </c>
      <c r="D89" s="2">
        <v>2.2235243597425132E-2</v>
      </c>
      <c r="E89" s="3">
        <v>2.4</v>
      </c>
      <c r="F89" s="2" t="s">
        <v>14</v>
      </c>
      <c r="G89" s="2">
        <v>0</v>
      </c>
      <c r="H89" s="2" t="s">
        <v>14</v>
      </c>
      <c r="I89" s="2" t="s">
        <v>14</v>
      </c>
      <c r="J89" s="2" t="s">
        <v>14</v>
      </c>
      <c r="K89" s="2">
        <v>0</v>
      </c>
      <c r="L89" s="4">
        <v>0.03</v>
      </c>
    </row>
    <row r="90" spans="1:12" x14ac:dyDescent="0.25">
      <c r="A90" s="5">
        <v>45170</v>
      </c>
      <c r="B90" s="1" t="s">
        <v>23</v>
      </c>
      <c r="C90" s="1" t="s">
        <v>25</v>
      </c>
      <c r="D90" s="2">
        <v>5.4142925478669793E-2</v>
      </c>
      <c r="E90" s="3">
        <v>1</v>
      </c>
      <c r="F90" s="2">
        <v>0.105</v>
      </c>
      <c r="G90" s="2">
        <v>0</v>
      </c>
      <c r="H90" s="2" t="s">
        <v>14</v>
      </c>
      <c r="I90" s="2" t="s">
        <v>14</v>
      </c>
      <c r="J90" s="2" t="s">
        <v>14</v>
      </c>
      <c r="K90" s="2">
        <v>0</v>
      </c>
      <c r="L90" s="4">
        <v>0.03</v>
      </c>
    </row>
    <row r="91" spans="1:12" x14ac:dyDescent="0.25">
      <c r="A91" s="5">
        <v>45170</v>
      </c>
      <c r="B91" s="1" t="s">
        <v>23</v>
      </c>
      <c r="C91" s="1" t="s">
        <v>13</v>
      </c>
      <c r="D91" s="2">
        <v>5.6500000000000002E-2</v>
      </c>
      <c r="E91" s="3">
        <v>1</v>
      </c>
      <c r="F91" s="2">
        <v>0.105</v>
      </c>
      <c r="G91" s="2">
        <v>0</v>
      </c>
      <c r="H91" s="2" t="s">
        <v>14</v>
      </c>
      <c r="I91" s="2" t="s">
        <v>14</v>
      </c>
      <c r="J91" s="2" t="s">
        <v>14</v>
      </c>
      <c r="K91" s="2">
        <v>0</v>
      </c>
      <c r="L91" s="4">
        <v>0.03</v>
      </c>
    </row>
    <row r="92" spans="1:12" x14ac:dyDescent="0.25">
      <c r="A92" s="5">
        <v>45170</v>
      </c>
      <c r="B92" s="1" t="s">
        <v>23</v>
      </c>
      <c r="C92" s="1" t="s">
        <v>17</v>
      </c>
      <c r="D92" s="2">
        <v>4.5100000000000001E-2</v>
      </c>
      <c r="E92" s="3">
        <v>1</v>
      </c>
      <c r="F92" s="2" t="s">
        <v>14</v>
      </c>
      <c r="G92" s="2">
        <v>0</v>
      </c>
      <c r="H92" s="2" t="s">
        <v>14</v>
      </c>
      <c r="I92" s="2">
        <v>0.08</v>
      </c>
      <c r="J92" s="2" t="s">
        <v>14</v>
      </c>
      <c r="K92" s="2">
        <v>0</v>
      </c>
      <c r="L92" s="4">
        <v>0.03</v>
      </c>
    </row>
    <row r="93" spans="1:12" x14ac:dyDescent="0.25">
      <c r="A93" s="5">
        <v>45170</v>
      </c>
      <c r="B93" s="1" t="s">
        <v>23</v>
      </c>
      <c r="C93" s="1" t="s">
        <v>21</v>
      </c>
      <c r="D93" s="2">
        <v>6.3399999999999998E-2</v>
      </c>
      <c r="E93" s="3">
        <v>1</v>
      </c>
      <c r="F93" s="2">
        <v>0.12</v>
      </c>
      <c r="G93" s="2">
        <v>0</v>
      </c>
      <c r="H93" s="2" t="s">
        <v>14</v>
      </c>
      <c r="I93" s="2" t="s">
        <v>14</v>
      </c>
      <c r="J93" s="2">
        <v>4.1500000000000002E-2</v>
      </c>
      <c r="K93" s="2">
        <v>0.6</v>
      </c>
      <c r="L93" s="4">
        <v>0.03</v>
      </c>
    </row>
    <row r="94" spans="1:12" x14ac:dyDescent="0.25">
      <c r="A94" s="5">
        <v>45170</v>
      </c>
      <c r="B94" s="1" t="s">
        <v>23</v>
      </c>
      <c r="C94" s="1" t="s">
        <v>22</v>
      </c>
      <c r="D94" s="2">
        <v>6.3399999999999998E-2</v>
      </c>
      <c r="E94" s="3">
        <v>1</v>
      </c>
      <c r="F94" s="2">
        <v>0.12</v>
      </c>
      <c r="G94" s="2">
        <v>0</v>
      </c>
      <c r="H94" s="2" t="s">
        <v>14</v>
      </c>
      <c r="I94" s="2" t="s">
        <v>14</v>
      </c>
      <c r="J94" s="2">
        <v>2.1499999999999998E-2</v>
      </c>
      <c r="K94" s="2">
        <v>0.24</v>
      </c>
      <c r="L94" s="4">
        <v>0.03</v>
      </c>
    </row>
    <row r="95" spans="1:12" x14ac:dyDescent="0.25">
      <c r="A95" s="5">
        <v>45170</v>
      </c>
      <c r="B95" s="1" t="s">
        <v>26</v>
      </c>
      <c r="C95" s="1" t="s">
        <v>24</v>
      </c>
      <c r="D95" s="2">
        <v>2.2235243597425132E-2</v>
      </c>
      <c r="E95" s="3">
        <v>2.4</v>
      </c>
      <c r="F95" s="2" t="s">
        <v>14</v>
      </c>
      <c r="G95" s="2">
        <v>0</v>
      </c>
      <c r="H95" s="2" t="s">
        <v>14</v>
      </c>
      <c r="I95" s="2" t="s">
        <v>14</v>
      </c>
      <c r="J95" s="2" t="s">
        <v>14</v>
      </c>
      <c r="K95" s="2">
        <v>0</v>
      </c>
      <c r="L95" s="4">
        <v>0.03</v>
      </c>
    </row>
    <row r="96" spans="1:12" x14ac:dyDescent="0.25">
      <c r="A96" s="5">
        <v>45170</v>
      </c>
      <c r="B96" s="1" t="s">
        <v>26</v>
      </c>
      <c r="C96" s="1" t="s">
        <v>25</v>
      </c>
      <c r="D96" s="2">
        <v>5.3100000000000001E-2</v>
      </c>
      <c r="E96" s="3">
        <v>1</v>
      </c>
      <c r="F96" s="2">
        <v>0.10249999999999999</v>
      </c>
      <c r="G96" s="2">
        <v>0</v>
      </c>
      <c r="H96" s="2" t="s">
        <v>14</v>
      </c>
      <c r="I96" s="2" t="s">
        <v>14</v>
      </c>
      <c r="J96" s="2" t="s">
        <v>14</v>
      </c>
      <c r="K96" s="2">
        <v>0</v>
      </c>
      <c r="L96" s="4">
        <v>0.03</v>
      </c>
    </row>
    <row r="97" spans="1:12" x14ac:dyDescent="0.25">
      <c r="A97" s="5">
        <v>45170</v>
      </c>
      <c r="B97" s="1" t="s">
        <v>26</v>
      </c>
      <c r="C97" s="1" t="s">
        <v>13</v>
      </c>
      <c r="D97" s="2">
        <v>5.5500000000000001E-2</v>
      </c>
      <c r="E97" s="3">
        <v>1</v>
      </c>
      <c r="F97" s="2">
        <v>0.10249999999999999</v>
      </c>
      <c r="G97" s="2">
        <v>0</v>
      </c>
      <c r="H97" s="2" t="s">
        <v>14</v>
      </c>
      <c r="I97" s="2" t="s">
        <v>14</v>
      </c>
      <c r="J97" s="2" t="s">
        <v>14</v>
      </c>
      <c r="K97" s="2">
        <v>0</v>
      </c>
      <c r="L97" s="4">
        <v>0.03</v>
      </c>
    </row>
    <row r="98" spans="1:12" x14ac:dyDescent="0.25">
      <c r="A98" s="5">
        <v>45170</v>
      </c>
      <c r="B98" s="1" t="s">
        <v>26</v>
      </c>
      <c r="C98" s="1" t="s">
        <v>17</v>
      </c>
      <c r="D98" s="2">
        <v>4.5100000000000001E-2</v>
      </c>
      <c r="E98" s="3">
        <v>1</v>
      </c>
      <c r="F98" s="2" t="s">
        <v>14</v>
      </c>
      <c r="G98" s="2">
        <v>0</v>
      </c>
      <c r="H98" s="2" t="s">
        <v>14</v>
      </c>
      <c r="I98" s="2">
        <v>0.08</v>
      </c>
      <c r="J98" s="2" t="s">
        <v>14</v>
      </c>
      <c r="K98" s="2">
        <v>0</v>
      </c>
      <c r="L98" s="4">
        <v>0.03</v>
      </c>
    </row>
    <row r="99" spans="1:12" x14ac:dyDescent="0.25">
      <c r="A99" s="5">
        <v>45170</v>
      </c>
      <c r="B99" s="1" t="s">
        <v>26</v>
      </c>
      <c r="C99" s="1" t="s">
        <v>21</v>
      </c>
      <c r="D99" s="2">
        <v>6.3399999999999998E-2</v>
      </c>
      <c r="E99" s="3">
        <v>1</v>
      </c>
      <c r="F99" s="2">
        <v>0.12</v>
      </c>
      <c r="G99" s="2">
        <v>0</v>
      </c>
      <c r="H99" s="2" t="s">
        <v>14</v>
      </c>
      <c r="I99" s="2" t="s">
        <v>14</v>
      </c>
      <c r="J99" s="2">
        <v>4.1500000000000002E-2</v>
      </c>
      <c r="K99" s="2">
        <v>0.6</v>
      </c>
      <c r="L99" s="4">
        <v>0.03</v>
      </c>
    </row>
    <row r="100" spans="1:12" x14ac:dyDescent="0.25">
      <c r="A100" s="5">
        <v>45170</v>
      </c>
      <c r="B100" s="1" t="s">
        <v>26</v>
      </c>
      <c r="C100" s="1" t="s">
        <v>22</v>
      </c>
      <c r="D100" s="2">
        <v>6.3399999999999998E-2</v>
      </c>
      <c r="E100" s="3">
        <v>1</v>
      </c>
      <c r="F100" s="2">
        <v>0.12</v>
      </c>
      <c r="G100" s="2">
        <v>0</v>
      </c>
      <c r="H100" s="2" t="s">
        <v>14</v>
      </c>
      <c r="I100" s="2" t="s">
        <v>14</v>
      </c>
      <c r="J100" s="2">
        <v>2.1499999999999998E-2</v>
      </c>
      <c r="K100" s="2">
        <v>0.24</v>
      </c>
      <c r="L100" s="4">
        <v>0.03</v>
      </c>
    </row>
    <row r="101" spans="1:12" x14ac:dyDescent="0.25">
      <c r="A101" s="5">
        <v>45170</v>
      </c>
      <c r="B101" s="1" t="s">
        <v>27</v>
      </c>
      <c r="C101" s="1" t="s">
        <v>13</v>
      </c>
      <c r="D101" s="2">
        <v>5.2137664197559282E-2</v>
      </c>
      <c r="E101" s="3">
        <v>1</v>
      </c>
      <c r="F101" s="2">
        <v>9.5000000000000001E-2</v>
      </c>
      <c r="G101" s="2">
        <v>0</v>
      </c>
      <c r="H101" s="2" t="s">
        <v>14</v>
      </c>
      <c r="I101" s="2" t="s">
        <v>14</v>
      </c>
      <c r="J101" s="2" t="s">
        <v>14</v>
      </c>
      <c r="K101" s="2">
        <v>0</v>
      </c>
      <c r="L101" s="4">
        <v>0.03</v>
      </c>
    </row>
    <row r="102" spans="1:12" x14ac:dyDescent="0.25">
      <c r="A102" s="5">
        <v>45170</v>
      </c>
      <c r="B102" s="1" t="s">
        <v>27</v>
      </c>
      <c r="C102" s="1" t="s">
        <v>17</v>
      </c>
      <c r="D102" s="2">
        <v>4.0344144194194971E-2</v>
      </c>
      <c r="E102" s="3">
        <v>1</v>
      </c>
      <c r="F102" s="2" t="s">
        <v>14</v>
      </c>
      <c r="G102" s="2">
        <v>0</v>
      </c>
      <c r="H102" s="2" t="s">
        <v>14</v>
      </c>
      <c r="I102" s="2">
        <v>0.09</v>
      </c>
      <c r="J102" s="2" t="s">
        <v>14</v>
      </c>
      <c r="K102" s="2">
        <v>0</v>
      </c>
      <c r="L102" s="4">
        <v>0.03</v>
      </c>
    </row>
    <row r="103" spans="1:12" x14ac:dyDescent="0.25">
      <c r="A103" s="5">
        <v>45170</v>
      </c>
      <c r="B103" s="1" t="s">
        <v>27</v>
      </c>
      <c r="C103" s="1" t="s">
        <v>24</v>
      </c>
      <c r="D103" s="2">
        <v>2.2235243597425132E-2</v>
      </c>
      <c r="E103" s="3">
        <v>2.2000000000000002</v>
      </c>
      <c r="F103" s="2" t="s">
        <v>14</v>
      </c>
      <c r="G103" s="2">
        <v>0</v>
      </c>
      <c r="H103" s="2" t="s">
        <v>14</v>
      </c>
      <c r="I103" s="2" t="s">
        <v>14</v>
      </c>
      <c r="J103" s="2" t="s">
        <v>14</v>
      </c>
      <c r="K103" s="2">
        <v>0</v>
      </c>
      <c r="L103" s="4">
        <v>0.03</v>
      </c>
    </row>
    <row r="104" spans="1:12" x14ac:dyDescent="0.25">
      <c r="A104" s="5">
        <v>45170</v>
      </c>
      <c r="B104" s="1" t="s">
        <v>27</v>
      </c>
      <c r="C104" s="1" t="s">
        <v>25</v>
      </c>
      <c r="D104" s="2">
        <v>4.9692203114646345E-2</v>
      </c>
      <c r="E104" s="3">
        <v>1</v>
      </c>
      <c r="F104" s="2">
        <v>9.5000000000000001E-2</v>
      </c>
      <c r="G104" s="2">
        <v>0</v>
      </c>
      <c r="H104" s="2" t="s">
        <v>14</v>
      </c>
      <c r="I104" s="2" t="s">
        <v>14</v>
      </c>
      <c r="J104" s="2" t="s">
        <v>14</v>
      </c>
      <c r="K104" s="2">
        <v>0</v>
      </c>
      <c r="L104" s="4">
        <v>0.03</v>
      </c>
    </row>
    <row r="105" spans="1:12" x14ac:dyDescent="0.25">
      <c r="A105" s="5">
        <v>45170</v>
      </c>
      <c r="B105" s="1" t="s">
        <v>28</v>
      </c>
      <c r="C105" s="1" t="s">
        <v>13</v>
      </c>
      <c r="D105" s="2">
        <v>4.8599999999999997E-2</v>
      </c>
      <c r="E105" s="3">
        <v>1</v>
      </c>
      <c r="F105" s="2">
        <v>8.5000000000000006E-2</v>
      </c>
      <c r="G105" s="2">
        <v>0</v>
      </c>
      <c r="H105" s="2" t="s">
        <v>14</v>
      </c>
      <c r="I105" s="2" t="s">
        <v>14</v>
      </c>
      <c r="J105" s="2" t="s">
        <v>14</v>
      </c>
      <c r="K105" s="2">
        <v>0</v>
      </c>
      <c r="L105" s="4">
        <v>0.03</v>
      </c>
    </row>
    <row r="106" spans="1:12" x14ac:dyDescent="0.25">
      <c r="A106" s="5">
        <v>45170</v>
      </c>
      <c r="B106" s="1" t="s">
        <v>28</v>
      </c>
      <c r="C106" s="1" t="s">
        <v>16</v>
      </c>
      <c r="D106" s="2">
        <v>3.1600000000000003E-2</v>
      </c>
      <c r="E106" s="3">
        <v>1</v>
      </c>
      <c r="F106" s="2">
        <v>7.0000000000000007E-2</v>
      </c>
      <c r="G106" s="2">
        <v>1.4999999999999999E-2</v>
      </c>
      <c r="H106" s="2" t="s">
        <v>14</v>
      </c>
      <c r="I106" s="2" t="s">
        <v>14</v>
      </c>
      <c r="J106" s="2" t="s">
        <v>14</v>
      </c>
      <c r="K106" s="2">
        <v>0</v>
      </c>
      <c r="L106" s="4">
        <v>0.03</v>
      </c>
    </row>
    <row r="107" spans="1:12" x14ac:dyDescent="0.25">
      <c r="A107" s="5">
        <v>45170</v>
      </c>
      <c r="B107" s="1" t="s">
        <v>28</v>
      </c>
      <c r="C107" s="1" t="s">
        <v>17</v>
      </c>
      <c r="D107" s="2">
        <v>4.6300000000000001E-2</v>
      </c>
      <c r="E107" s="3">
        <v>1</v>
      </c>
      <c r="F107" s="2" t="s">
        <v>14</v>
      </c>
      <c r="G107" s="2">
        <v>0</v>
      </c>
      <c r="H107" s="2" t="s">
        <v>14</v>
      </c>
      <c r="I107" s="2">
        <v>7.7499999999999999E-2</v>
      </c>
      <c r="J107" s="2" t="s">
        <v>14</v>
      </c>
      <c r="K107" s="2">
        <v>0</v>
      </c>
      <c r="L107" s="4">
        <v>0.03</v>
      </c>
    </row>
    <row r="108" spans="1:12" x14ac:dyDescent="0.25">
      <c r="A108" s="5">
        <v>45170</v>
      </c>
      <c r="B108" s="1" t="s">
        <v>28</v>
      </c>
      <c r="C108" s="1" t="s">
        <v>18</v>
      </c>
      <c r="D108" s="2">
        <v>4.5999999999999999E-2</v>
      </c>
      <c r="E108" s="3">
        <v>1</v>
      </c>
      <c r="F108" s="2" t="s">
        <v>14</v>
      </c>
      <c r="G108" s="2">
        <v>0</v>
      </c>
      <c r="H108" s="2">
        <v>6.5000000000000002E-2</v>
      </c>
      <c r="I108" s="2" t="s">
        <v>14</v>
      </c>
      <c r="J108" s="2" t="s">
        <v>14</v>
      </c>
      <c r="K108" s="2">
        <v>0</v>
      </c>
      <c r="L108" s="4">
        <v>0.03</v>
      </c>
    </row>
    <row r="109" spans="1:12" x14ac:dyDescent="0.25">
      <c r="A109" s="5">
        <v>45170</v>
      </c>
      <c r="B109" s="1" t="s">
        <v>29</v>
      </c>
      <c r="C109" s="1" t="s">
        <v>13</v>
      </c>
      <c r="D109" s="2">
        <v>4.4999999999999998E-2</v>
      </c>
      <c r="E109" s="3">
        <v>1</v>
      </c>
      <c r="F109" s="2">
        <v>7.7499999999999999E-2</v>
      </c>
      <c r="G109" s="2">
        <v>0</v>
      </c>
      <c r="H109" s="2" t="s">
        <v>14</v>
      </c>
      <c r="I109" s="2" t="s">
        <v>14</v>
      </c>
      <c r="J109" s="2" t="s">
        <v>14</v>
      </c>
      <c r="K109" s="2">
        <v>0</v>
      </c>
      <c r="L109" s="4">
        <v>0.03</v>
      </c>
    </row>
    <row r="110" spans="1:12" x14ac:dyDescent="0.25">
      <c r="A110" s="5">
        <v>45170</v>
      </c>
      <c r="B110" s="1" t="s">
        <v>29</v>
      </c>
      <c r="C110" s="1" t="s">
        <v>16</v>
      </c>
      <c r="D110" s="2">
        <v>2.5000000000000001E-2</v>
      </c>
      <c r="E110" s="3">
        <v>1</v>
      </c>
      <c r="F110" s="2">
        <v>5.7500000000000002E-2</v>
      </c>
      <c r="G110" s="2">
        <v>1.4999999999999999E-2</v>
      </c>
      <c r="H110" s="2" t="s">
        <v>14</v>
      </c>
      <c r="I110" s="2" t="s">
        <v>14</v>
      </c>
      <c r="J110" s="2" t="s">
        <v>14</v>
      </c>
      <c r="K110" s="2">
        <v>0</v>
      </c>
      <c r="L110" s="4">
        <v>0.03</v>
      </c>
    </row>
    <row r="111" spans="1:12" x14ac:dyDescent="0.25">
      <c r="A111" s="5">
        <v>45170</v>
      </c>
      <c r="B111" s="1" t="s">
        <v>29</v>
      </c>
      <c r="C111" s="1" t="s">
        <v>17</v>
      </c>
      <c r="D111" s="2">
        <v>4.1700000000000001E-2</v>
      </c>
      <c r="E111" s="3">
        <v>1</v>
      </c>
      <c r="F111" s="2" t="s">
        <v>14</v>
      </c>
      <c r="G111" s="2">
        <v>0</v>
      </c>
      <c r="H111" s="2" t="s">
        <v>14</v>
      </c>
      <c r="I111" s="2">
        <v>8.6999999999999994E-2</v>
      </c>
      <c r="J111" s="2" t="s">
        <v>14</v>
      </c>
      <c r="K111" s="2">
        <v>0</v>
      </c>
      <c r="L111" s="4">
        <v>0.03</v>
      </c>
    </row>
    <row r="112" spans="1:12" x14ac:dyDescent="0.25">
      <c r="A112" s="5">
        <v>45170</v>
      </c>
      <c r="B112" s="1" t="s">
        <v>29</v>
      </c>
      <c r="C112" s="1" t="s">
        <v>18</v>
      </c>
      <c r="D112" s="2">
        <v>4.0399999999999998E-2</v>
      </c>
      <c r="E112" s="3">
        <v>1</v>
      </c>
      <c r="F112" s="2" t="s">
        <v>14</v>
      </c>
      <c r="G112" s="2">
        <v>0</v>
      </c>
      <c r="H112" s="2">
        <v>5.7000000000000002E-2</v>
      </c>
      <c r="I112" s="2" t="s">
        <v>14</v>
      </c>
      <c r="J112" s="2" t="s">
        <v>14</v>
      </c>
      <c r="K112" s="2">
        <v>0</v>
      </c>
      <c r="L112" s="4">
        <v>0.03</v>
      </c>
    </row>
    <row r="113" spans="1:12" x14ac:dyDescent="0.25">
      <c r="A113" s="5">
        <v>45201</v>
      </c>
      <c r="B113" s="1" t="s">
        <v>12</v>
      </c>
      <c r="C113" s="1" t="s">
        <v>13</v>
      </c>
      <c r="D113" s="2">
        <v>5.4100000000000002E-2</v>
      </c>
      <c r="E113" s="3">
        <v>1</v>
      </c>
      <c r="F113" s="2">
        <v>9.7500000000000003E-2</v>
      </c>
      <c r="G113" s="2">
        <v>0</v>
      </c>
      <c r="H113" s="2" t="s">
        <v>14</v>
      </c>
      <c r="I113" s="2" t="s">
        <v>14</v>
      </c>
      <c r="J113" s="2" t="s">
        <v>14</v>
      </c>
      <c r="K113" s="2">
        <v>0</v>
      </c>
      <c r="L113" s="4">
        <v>0.03</v>
      </c>
    </row>
    <row r="114" spans="1:12" x14ac:dyDescent="0.25">
      <c r="A114" s="5">
        <v>45201</v>
      </c>
      <c r="B114" s="1" t="s">
        <v>15</v>
      </c>
      <c r="C114" s="1" t="s">
        <v>13</v>
      </c>
      <c r="D114" s="2">
        <v>5.4100000000000002E-2</v>
      </c>
      <c r="E114" s="3">
        <v>1</v>
      </c>
      <c r="F114" s="2">
        <v>9.7500000000000003E-2</v>
      </c>
      <c r="G114" s="2">
        <v>0</v>
      </c>
      <c r="H114" s="2" t="s">
        <v>14</v>
      </c>
      <c r="I114" s="2" t="s">
        <v>14</v>
      </c>
      <c r="J114" s="2" t="s">
        <v>14</v>
      </c>
      <c r="K114" s="2">
        <v>0</v>
      </c>
      <c r="L114" s="4">
        <v>0.03</v>
      </c>
    </row>
    <row r="115" spans="1:12" x14ac:dyDescent="0.25">
      <c r="A115" s="5">
        <v>45201</v>
      </c>
      <c r="B115" s="1" t="s">
        <v>15</v>
      </c>
      <c r="C115" s="1" t="s">
        <v>16</v>
      </c>
      <c r="D115" s="2">
        <v>3.8800000000000001E-2</v>
      </c>
      <c r="E115" s="3">
        <v>1</v>
      </c>
      <c r="F115" s="2">
        <v>8.5000000000000006E-2</v>
      </c>
      <c r="G115" s="2">
        <v>1.4999999999999999E-2</v>
      </c>
      <c r="H115" s="2" t="s">
        <v>14</v>
      </c>
      <c r="I115" s="2" t="s">
        <v>14</v>
      </c>
      <c r="J115" s="2" t="s">
        <v>14</v>
      </c>
      <c r="K115" s="2">
        <v>0</v>
      </c>
      <c r="L115" s="4">
        <v>0.03</v>
      </c>
    </row>
    <row r="116" spans="1:12" x14ac:dyDescent="0.25">
      <c r="A116" s="5">
        <v>45201</v>
      </c>
      <c r="B116" s="1" t="s">
        <v>15</v>
      </c>
      <c r="C116" s="1" t="s">
        <v>17</v>
      </c>
      <c r="D116" s="2">
        <v>4.0899999999999999E-2</v>
      </c>
      <c r="E116" s="3">
        <v>1</v>
      </c>
      <c r="F116" s="2" t="s">
        <v>14</v>
      </c>
      <c r="G116" s="2">
        <v>0</v>
      </c>
      <c r="H116" s="2" t="s">
        <v>14</v>
      </c>
      <c r="I116" s="2">
        <v>0.08</v>
      </c>
      <c r="J116" s="2" t="s">
        <v>14</v>
      </c>
      <c r="K116" s="2">
        <v>0</v>
      </c>
      <c r="L116" s="4">
        <v>0.03</v>
      </c>
    </row>
    <row r="117" spans="1:12" x14ac:dyDescent="0.25">
      <c r="A117" s="5">
        <v>45201</v>
      </c>
      <c r="B117" s="1" t="s">
        <v>15</v>
      </c>
      <c r="C117" s="1" t="s">
        <v>18</v>
      </c>
      <c r="D117" s="2">
        <v>5.4100000000000002E-2</v>
      </c>
      <c r="E117" s="3">
        <v>1</v>
      </c>
      <c r="F117" s="2" t="s">
        <v>14</v>
      </c>
      <c r="G117" s="2">
        <v>0</v>
      </c>
      <c r="H117" s="2">
        <v>7.4999999999999997E-2</v>
      </c>
      <c r="I117" s="2" t="s">
        <v>14</v>
      </c>
      <c r="J117" s="2" t="s">
        <v>14</v>
      </c>
      <c r="K117" s="2">
        <v>0</v>
      </c>
      <c r="L117" s="4">
        <v>0.03</v>
      </c>
    </row>
    <row r="118" spans="1:12" x14ac:dyDescent="0.25">
      <c r="A118" s="5">
        <v>45201</v>
      </c>
      <c r="B118" s="1" t="s">
        <v>19</v>
      </c>
      <c r="C118" s="1" t="s">
        <v>13</v>
      </c>
      <c r="D118" s="2">
        <v>4.2500000000000003E-2</v>
      </c>
      <c r="E118" s="3">
        <v>1</v>
      </c>
      <c r="F118" s="2">
        <v>7.2499999999999995E-2</v>
      </c>
      <c r="G118" s="2">
        <v>0</v>
      </c>
      <c r="H118" s="2" t="s">
        <v>14</v>
      </c>
      <c r="I118" s="2" t="s">
        <v>14</v>
      </c>
      <c r="J118" s="2" t="s">
        <v>14</v>
      </c>
      <c r="K118" s="2">
        <v>0</v>
      </c>
      <c r="L118" s="4">
        <v>0.03</v>
      </c>
    </row>
    <row r="119" spans="1:12" x14ac:dyDescent="0.25">
      <c r="A119" s="5">
        <v>45201</v>
      </c>
      <c r="B119" s="1" t="s">
        <v>19</v>
      </c>
      <c r="C119" s="1" t="s">
        <v>16</v>
      </c>
      <c r="D119" s="2">
        <v>2.63E-2</v>
      </c>
      <c r="E119" s="3">
        <v>1</v>
      </c>
      <c r="F119" s="2">
        <v>0.06</v>
      </c>
      <c r="G119" s="2">
        <v>1.4999999999999999E-2</v>
      </c>
      <c r="H119" s="2" t="s">
        <v>14</v>
      </c>
      <c r="I119" s="2" t="s">
        <v>14</v>
      </c>
      <c r="J119" s="2" t="s">
        <v>14</v>
      </c>
      <c r="K119" s="2">
        <v>0</v>
      </c>
      <c r="L119" s="4">
        <v>0.03</v>
      </c>
    </row>
    <row r="120" spans="1:12" x14ac:dyDescent="0.25">
      <c r="A120" s="5">
        <v>45201</v>
      </c>
      <c r="B120" s="1" t="s">
        <v>19</v>
      </c>
      <c r="C120" s="1" t="s">
        <v>17</v>
      </c>
      <c r="D120" s="2">
        <v>3.6200000000000003E-2</v>
      </c>
      <c r="E120" s="3">
        <v>1</v>
      </c>
      <c r="F120" s="2" t="s">
        <v>14</v>
      </c>
      <c r="G120" s="2">
        <v>0</v>
      </c>
      <c r="H120" s="2" t="s">
        <v>14</v>
      </c>
      <c r="I120" s="2">
        <v>0.09</v>
      </c>
      <c r="J120" s="2" t="s">
        <v>14</v>
      </c>
      <c r="K120" s="2">
        <v>0</v>
      </c>
      <c r="L120" s="4">
        <v>0.03</v>
      </c>
    </row>
    <row r="121" spans="1:12" x14ac:dyDescent="0.25">
      <c r="A121" s="5">
        <v>45201</v>
      </c>
      <c r="B121" s="1" t="s">
        <v>19</v>
      </c>
      <c r="C121" s="1" t="s">
        <v>18</v>
      </c>
      <c r="D121" s="2">
        <v>4.3299999999999998E-2</v>
      </c>
      <c r="E121" s="3">
        <v>1</v>
      </c>
      <c r="F121" s="2" t="s">
        <v>14</v>
      </c>
      <c r="G121" s="2">
        <v>0</v>
      </c>
      <c r="H121" s="2">
        <v>0.06</v>
      </c>
      <c r="I121" s="2" t="s">
        <v>14</v>
      </c>
      <c r="J121" s="2" t="s">
        <v>14</v>
      </c>
      <c r="K121" s="2">
        <v>0</v>
      </c>
      <c r="L121" s="4">
        <v>0.03</v>
      </c>
    </row>
    <row r="122" spans="1:12" x14ac:dyDescent="0.25">
      <c r="A122" s="5">
        <v>45201</v>
      </c>
      <c r="B122" s="1" t="s">
        <v>20</v>
      </c>
      <c r="C122" s="1" t="s">
        <v>13</v>
      </c>
      <c r="D122" s="2">
        <v>5.4100000000000002E-2</v>
      </c>
      <c r="E122" s="3">
        <v>1</v>
      </c>
      <c r="F122" s="2">
        <v>9.7500000000000003E-2</v>
      </c>
      <c r="G122" s="2">
        <v>0</v>
      </c>
      <c r="H122" s="2" t="s">
        <v>14</v>
      </c>
      <c r="I122" s="2" t="s">
        <v>14</v>
      </c>
      <c r="J122" s="2" t="s">
        <v>14</v>
      </c>
      <c r="K122" s="2">
        <v>0</v>
      </c>
      <c r="L122" s="4">
        <v>0.03</v>
      </c>
    </row>
    <row r="123" spans="1:12" x14ac:dyDescent="0.25">
      <c r="A123" s="5">
        <v>45201</v>
      </c>
      <c r="B123" s="1" t="s">
        <v>20</v>
      </c>
      <c r="C123" s="1" t="s">
        <v>17</v>
      </c>
      <c r="D123" s="2">
        <v>4.0899999999999999E-2</v>
      </c>
      <c r="E123" s="3">
        <v>1</v>
      </c>
      <c r="F123" s="2" t="s">
        <v>14</v>
      </c>
      <c r="G123" s="2">
        <v>0</v>
      </c>
      <c r="H123" s="2" t="s">
        <v>14</v>
      </c>
      <c r="I123" s="2">
        <v>0.08</v>
      </c>
      <c r="J123" s="2" t="s">
        <v>14</v>
      </c>
      <c r="K123" s="2">
        <v>0</v>
      </c>
      <c r="L123" s="4">
        <v>0.03</v>
      </c>
    </row>
    <row r="124" spans="1:12" x14ac:dyDescent="0.25">
      <c r="A124" s="5">
        <v>45201</v>
      </c>
      <c r="B124" s="1" t="s">
        <v>20</v>
      </c>
      <c r="C124" s="1" t="s">
        <v>21</v>
      </c>
      <c r="D124" s="2">
        <v>6.2600000000000003E-2</v>
      </c>
      <c r="E124" s="3">
        <v>1</v>
      </c>
      <c r="F124" s="2">
        <v>0.12</v>
      </c>
      <c r="G124" s="2">
        <v>0</v>
      </c>
      <c r="H124" s="2" t="s">
        <v>14</v>
      </c>
      <c r="I124" s="2" t="s">
        <v>14</v>
      </c>
      <c r="J124" s="2">
        <v>4.1500000000000002E-2</v>
      </c>
      <c r="K124" s="2">
        <v>0.6</v>
      </c>
      <c r="L124" s="4">
        <v>0.03</v>
      </c>
    </row>
    <row r="125" spans="1:12" x14ac:dyDescent="0.25">
      <c r="A125" s="5">
        <v>45201</v>
      </c>
      <c r="B125" s="1" t="s">
        <v>20</v>
      </c>
      <c r="C125" s="1" t="s">
        <v>22</v>
      </c>
      <c r="D125" s="2">
        <v>6.2600000000000003E-2</v>
      </c>
      <c r="E125" s="3">
        <v>1</v>
      </c>
      <c r="F125" s="2">
        <v>0.12</v>
      </c>
      <c r="G125" s="2">
        <v>0</v>
      </c>
      <c r="H125" s="2" t="s">
        <v>14</v>
      </c>
      <c r="I125" s="2" t="s">
        <v>14</v>
      </c>
      <c r="J125" s="2">
        <v>2.1499999999999998E-2</v>
      </c>
      <c r="K125" s="2">
        <v>0.24</v>
      </c>
      <c r="L125" s="4">
        <v>0.03</v>
      </c>
    </row>
    <row r="126" spans="1:12" x14ac:dyDescent="0.25">
      <c r="A126" s="5">
        <v>45201</v>
      </c>
      <c r="B126" s="1" t="s">
        <v>23</v>
      </c>
      <c r="C126" s="1" t="s">
        <v>24</v>
      </c>
      <c r="D126" s="2">
        <v>2.2337996557546119E-2</v>
      </c>
      <c r="E126" s="3">
        <v>2.4</v>
      </c>
      <c r="F126" s="2" t="s">
        <v>14</v>
      </c>
      <c r="G126" s="2">
        <v>0</v>
      </c>
      <c r="H126" s="2" t="s">
        <v>14</v>
      </c>
      <c r="I126" s="2" t="s">
        <v>14</v>
      </c>
      <c r="J126" s="2" t="s">
        <v>14</v>
      </c>
      <c r="K126" s="2">
        <v>0</v>
      </c>
      <c r="L126" s="4">
        <v>0.03</v>
      </c>
    </row>
    <row r="127" spans="1:12" x14ac:dyDescent="0.25">
      <c r="A127" s="5">
        <v>45201</v>
      </c>
      <c r="B127" s="1" t="s">
        <v>23</v>
      </c>
      <c r="C127" s="1" t="s">
        <v>25</v>
      </c>
      <c r="D127" s="2">
        <v>5.3848311722893109E-2</v>
      </c>
      <c r="E127" s="3">
        <v>1</v>
      </c>
      <c r="F127" s="2">
        <v>0.10249999999999999</v>
      </c>
      <c r="G127" s="2">
        <v>0</v>
      </c>
      <c r="H127" s="2" t="s">
        <v>14</v>
      </c>
      <c r="I127" s="2" t="s">
        <v>14</v>
      </c>
      <c r="J127" s="2" t="s">
        <v>14</v>
      </c>
      <c r="K127" s="2">
        <v>0</v>
      </c>
      <c r="L127" s="4">
        <v>0.03</v>
      </c>
    </row>
    <row r="128" spans="1:12" x14ac:dyDescent="0.25">
      <c r="A128" s="5">
        <v>45201</v>
      </c>
      <c r="B128" s="1" t="s">
        <v>23</v>
      </c>
      <c r="C128" s="1" t="s">
        <v>13</v>
      </c>
      <c r="D128" s="2">
        <v>5.6099999999999997E-2</v>
      </c>
      <c r="E128" s="3">
        <v>1</v>
      </c>
      <c r="F128" s="2">
        <v>0.10249999999999999</v>
      </c>
      <c r="G128" s="2">
        <v>0</v>
      </c>
      <c r="H128" s="2" t="s">
        <v>14</v>
      </c>
      <c r="I128" s="2" t="s">
        <v>14</v>
      </c>
      <c r="J128" s="2" t="s">
        <v>14</v>
      </c>
      <c r="K128" s="2">
        <v>0</v>
      </c>
      <c r="L128" s="4">
        <v>0.03</v>
      </c>
    </row>
    <row r="129" spans="1:12" x14ac:dyDescent="0.25">
      <c r="A129" s="5">
        <v>45201</v>
      </c>
      <c r="B129" s="1" t="s">
        <v>23</v>
      </c>
      <c r="C129" s="1" t="s">
        <v>17</v>
      </c>
      <c r="D129" s="2">
        <v>4.0899999999999999E-2</v>
      </c>
      <c r="E129" s="3">
        <v>1</v>
      </c>
      <c r="F129" s="2" t="s">
        <v>14</v>
      </c>
      <c r="G129" s="2">
        <v>0</v>
      </c>
      <c r="H129" s="2" t="s">
        <v>14</v>
      </c>
      <c r="I129" s="2">
        <v>0.08</v>
      </c>
      <c r="J129" s="2" t="s">
        <v>14</v>
      </c>
      <c r="K129" s="2">
        <v>0</v>
      </c>
      <c r="L129" s="4">
        <v>0.03</v>
      </c>
    </row>
    <row r="130" spans="1:12" x14ac:dyDescent="0.25">
      <c r="A130" s="5">
        <v>45201</v>
      </c>
      <c r="B130" s="1" t="s">
        <v>23</v>
      </c>
      <c r="C130" s="1" t="s">
        <v>21</v>
      </c>
      <c r="D130" s="2">
        <v>6.2600000000000003E-2</v>
      </c>
      <c r="E130" s="3">
        <v>1</v>
      </c>
      <c r="F130" s="2">
        <v>0.12</v>
      </c>
      <c r="G130" s="2">
        <v>0</v>
      </c>
      <c r="H130" s="2" t="s">
        <v>14</v>
      </c>
      <c r="I130" s="2" t="s">
        <v>14</v>
      </c>
      <c r="J130" s="2">
        <v>4.1500000000000002E-2</v>
      </c>
      <c r="K130" s="2">
        <v>0.6</v>
      </c>
      <c r="L130" s="4">
        <v>0.03</v>
      </c>
    </row>
    <row r="131" spans="1:12" x14ac:dyDescent="0.25">
      <c r="A131" s="5">
        <v>45201</v>
      </c>
      <c r="B131" s="1" t="s">
        <v>23</v>
      </c>
      <c r="C131" s="1" t="s">
        <v>22</v>
      </c>
      <c r="D131" s="2">
        <v>6.2600000000000003E-2</v>
      </c>
      <c r="E131" s="3">
        <v>1</v>
      </c>
      <c r="F131" s="2">
        <v>0.12</v>
      </c>
      <c r="G131" s="2">
        <v>0</v>
      </c>
      <c r="H131" s="2" t="s">
        <v>14</v>
      </c>
      <c r="I131" s="2" t="s">
        <v>14</v>
      </c>
      <c r="J131" s="2">
        <v>2.1499999999999998E-2</v>
      </c>
      <c r="K131" s="2">
        <v>0.24</v>
      </c>
      <c r="L131" s="4">
        <v>0.03</v>
      </c>
    </row>
    <row r="132" spans="1:12" x14ac:dyDescent="0.25">
      <c r="A132" s="5">
        <v>45201</v>
      </c>
      <c r="B132" s="1" t="s">
        <v>26</v>
      </c>
      <c r="C132" s="1" t="s">
        <v>24</v>
      </c>
      <c r="D132" s="2">
        <v>2.2337996557546119E-2</v>
      </c>
      <c r="E132" s="3">
        <v>2.4</v>
      </c>
      <c r="F132" s="2" t="s">
        <v>14</v>
      </c>
      <c r="G132" s="2">
        <v>0</v>
      </c>
      <c r="H132" s="2" t="s">
        <v>14</v>
      </c>
      <c r="I132" s="2" t="s">
        <v>14</v>
      </c>
      <c r="J132" s="2" t="s">
        <v>14</v>
      </c>
      <c r="K132" s="2">
        <v>0</v>
      </c>
      <c r="L132" s="4">
        <v>0.03</v>
      </c>
    </row>
    <row r="133" spans="1:12" x14ac:dyDescent="0.25">
      <c r="A133" s="5">
        <v>45201</v>
      </c>
      <c r="B133" s="1" t="s">
        <v>26</v>
      </c>
      <c r="C133" s="1" t="s">
        <v>25</v>
      </c>
      <c r="D133" s="2">
        <v>5.28E-2</v>
      </c>
      <c r="E133" s="3">
        <v>1</v>
      </c>
      <c r="F133" s="2">
        <v>0.1</v>
      </c>
      <c r="G133" s="2">
        <v>0</v>
      </c>
      <c r="H133" s="2" t="s">
        <v>14</v>
      </c>
      <c r="I133" s="2" t="s">
        <v>14</v>
      </c>
      <c r="J133" s="2" t="s">
        <v>14</v>
      </c>
      <c r="K133" s="2">
        <v>0</v>
      </c>
      <c r="L133" s="4">
        <v>0.03</v>
      </c>
    </row>
    <row r="134" spans="1:12" x14ac:dyDescent="0.25">
      <c r="A134" s="5">
        <v>45201</v>
      </c>
      <c r="B134" s="1" t="s">
        <v>26</v>
      </c>
      <c r="C134" s="1" t="s">
        <v>13</v>
      </c>
      <c r="D134" s="2">
        <v>5.5100000000000003E-2</v>
      </c>
      <c r="E134" s="3">
        <v>1</v>
      </c>
      <c r="F134" s="2">
        <v>0.1</v>
      </c>
      <c r="G134" s="2">
        <v>0</v>
      </c>
      <c r="H134" s="2" t="s">
        <v>14</v>
      </c>
      <c r="I134" s="2" t="s">
        <v>14</v>
      </c>
      <c r="J134" s="2" t="s">
        <v>14</v>
      </c>
      <c r="K134" s="2">
        <v>0</v>
      </c>
      <c r="L134" s="4">
        <v>0.03</v>
      </c>
    </row>
    <row r="135" spans="1:12" x14ac:dyDescent="0.25">
      <c r="A135" s="5">
        <v>45201</v>
      </c>
      <c r="B135" s="1" t="s">
        <v>26</v>
      </c>
      <c r="C135" s="1" t="s">
        <v>17</v>
      </c>
      <c r="D135" s="2">
        <v>4.0899999999999999E-2</v>
      </c>
      <c r="E135" s="3">
        <v>1</v>
      </c>
      <c r="F135" s="2" t="s">
        <v>14</v>
      </c>
      <c r="G135" s="2">
        <v>0</v>
      </c>
      <c r="H135" s="2" t="s">
        <v>14</v>
      </c>
      <c r="I135" s="2">
        <v>0.08</v>
      </c>
      <c r="J135" s="2" t="s">
        <v>14</v>
      </c>
      <c r="K135" s="2">
        <v>0</v>
      </c>
      <c r="L135" s="4">
        <v>0.03</v>
      </c>
    </row>
    <row r="136" spans="1:12" x14ac:dyDescent="0.25">
      <c r="A136" s="5">
        <v>45201</v>
      </c>
      <c r="B136" s="1" t="s">
        <v>26</v>
      </c>
      <c r="C136" s="1" t="s">
        <v>21</v>
      </c>
      <c r="D136" s="2">
        <v>6.2600000000000003E-2</v>
      </c>
      <c r="E136" s="3">
        <v>1</v>
      </c>
      <c r="F136" s="2">
        <v>0.12</v>
      </c>
      <c r="G136" s="2">
        <v>0</v>
      </c>
      <c r="H136" s="2" t="s">
        <v>14</v>
      </c>
      <c r="I136" s="2" t="s">
        <v>14</v>
      </c>
      <c r="J136" s="2">
        <v>4.1500000000000002E-2</v>
      </c>
      <c r="K136" s="2">
        <v>0.6</v>
      </c>
      <c r="L136" s="4">
        <v>0.03</v>
      </c>
    </row>
    <row r="137" spans="1:12" x14ac:dyDescent="0.25">
      <c r="A137" s="5">
        <v>45201</v>
      </c>
      <c r="B137" s="1" t="s">
        <v>26</v>
      </c>
      <c r="C137" s="1" t="s">
        <v>22</v>
      </c>
      <c r="D137" s="2">
        <v>6.2600000000000003E-2</v>
      </c>
      <c r="E137" s="3">
        <v>1</v>
      </c>
      <c r="F137" s="2">
        <v>0.12</v>
      </c>
      <c r="G137" s="2">
        <v>0</v>
      </c>
      <c r="H137" s="2" t="s">
        <v>14</v>
      </c>
      <c r="I137" s="2" t="s">
        <v>14</v>
      </c>
      <c r="J137" s="2">
        <v>2.1499999999999998E-2</v>
      </c>
      <c r="K137" s="2">
        <v>0.24</v>
      </c>
      <c r="L137" s="4">
        <v>0.03</v>
      </c>
    </row>
    <row r="138" spans="1:12" x14ac:dyDescent="0.25">
      <c r="A138" s="5">
        <v>45201</v>
      </c>
      <c r="B138" s="1" t="s">
        <v>27</v>
      </c>
      <c r="C138" s="1" t="s">
        <v>13</v>
      </c>
      <c r="D138" s="2">
        <v>5.1896264162773265E-2</v>
      </c>
      <c r="E138" s="3">
        <v>1</v>
      </c>
      <c r="F138" s="2">
        <v>9.2499999999999999E-2</v>
      </c>
      <c r="G138" s="2">
        <v>0</v>
      </c>
      <c r="H138" s="2" t="s">
        <v>14</v>
      </c>
      <c r="I138" s="2" t="s">
        <v>14</v>
      </c>
      <c r="J138" s="2" t="s">
        <v>14</v>
      </c>
      <c r="K138" s="2">
        <v>0</v>
      </c>
      <c r="L138" s="4">
        <v>0.03</v>
      </c>
    </row>
    <row r="139" spans="1:12" x14ac:dyDescent="0.25">
      <c r="A139" s="5">
        <v>45201</v>
      </c>
      <c r="B139" s="1" t="s">
        <v>27</v>
      </c>
      <c r="C139" s="1" t="s">
        <v>17</v>
      </c>
      <c r="D139" s="2">
        <v>3.624058727175096E-2</v>
      </c>
      <c r="E139" s="3">
        <v>1</v>
      </c>
      <c r="F139" s="2" t="s">
        <v>14</v>
      </c>
      <c r="G139" s="2">
        <v>0</v>
      </c>
      <c r="H139" s="2" t="s">
        <v>14</v>
      </c>
      <c r="I139" s="2">
        <v>0.09</v>
      </c>
      <c r="J139" s="2" t="s">
        <v>14</v>
      </c>
      <c r="K139" s="2">
        <v>0</v>
      </c>
      <c r="L139" s="4">
        <v>0.03</v>
      </c>
    </row>
    <row r="140" spans="1:12" x14ac:dyDescent="0.25">
      <c r="A140" s="5">
        <v>45201</v>
      </c>
      <c r="B140" s="1" t="s">
        <v>27</v>
      </c>
      <c r="C140" s="1" t="s">
        <v>24</v>
      </c>
      <c r="D140" s="2">
        <v>2.2337996557546119E-2</v>
      </c>
      <c r="E140" s="3">
        <v>2.2000000000000002</v>
      </c>
      <c r="F140" s="2" t="s">
        <v>14</v>
      </c>
      <c r="G140" s="2">
        <v>0</v>
      </c>
      <c r="H140" s="2" t="s">
        <v>14</v>
      </c>
      <c r="I140" s="2" t="s">
        <v>14</v>
      </c>
      <c r="J140" s="2" t="s">
        <v>14</v>
      </c>
      <c r="K140" s="2">
        <v>0</v>
      </c>
      <c r="L140" s="4">
        <v>0.03</v>
      </c>
    </row>
    <row r="141" spans="1:12" x14ac:dyDescent="0.25">
      <c r="A141" s="5">
        <v>45201</v>
      </c>
      <c r="B141" s="1" t="s">
        <v>27</v>
      </c>
      <c r="C141" s="1" t="s">
        <v>25</v>
      </c>
      <c r="D141" s="2">
        <v>4.9478785802396619E-2</v>
      </c>
      <c r="E141" s="3">
        <v>1</v>
      </c>
      <c r="F141" s="2">
        <v>9.2499999999999999E-2</v>
      </c>
      <c r="G141" s="2">
        <v>0</v>
      </c>
      <c r="H141" s="2" t="s">
        <v>14</v>
      </c>
      <c r="I141" s="2" t="s">
        <v>14</v>
      </c>
      <c r="J141" s="2" t="s">
        <v>14</v>
      </c>
      <c r="K141" s="2">
        <v>0</v>
      </c>
      <c r="L141" s="4">
        <v>0.03</v>
      </c>
    </row>
    <row r="142" spans="1:12" x14ac:dyDescent="0.25">
      <c r="A142" s="5">
        <v>45201</v>
      </c>
      <c r="B142" s="1" t="s">
        <v>28</v>
      </c>
      <c r="C142" s="1" t="s">
        <v>13</v>
      </c>
      <c r="D142" s="2">
        <v>4.8500000000000001E-2</v>
      </c>
      <c r="E142" s="3">
        <v>1</v>
      </c>
      <c r="F142" s="2">
        <v>8.5000000000000006E-2</v>
      </c>
      <c r="G142" s="2">
        <v>0</v>
      </c>
      <c r="H142" s="2" t="s">
        <v>14</v>
      </c>
      <c r="I142" s="2" t="s">
        <v>14</v>
      </c>
      <c r="J142" s="2" t="s">
        <v>14</v>
      </c>
      <c r="K142" s="2">
        <v>0</v>
      </c>
      <c r="L142" s="4">
        <v>0.03</v>
      </c>
    </row>
    <row r="143" spans="1:12" x14ac:dyDescent="0.25">
      <c r="A143" s="5">
        <v>45201</v>
      </c>
      <c r="B143" s="1" t="s">
        <v>28</v>
      </c>
      <c r="C143" s="1" t="s">
        <v>16</v>
      </c>
      <c r="D143" s="2">
        <v>3.15E-2</v>
      </c>
      <c r="E143" s="3">
        <v>1</v>
      </c>
      <c r="F143" s="2">
        <v>7.0000000000000007E-2</v>
      </c>
      <c r="G143" s="2">
        <v>1.4999999999999999E-2</v>
      </c>
      <c r="H143" s="2" t="s">
        <v>14</v>
      </c>
      <c r="I143" s="2" t="s">
        <v>14</v>
      </c>
      <c r="J143" s="2" t="s">
        <v>14</v>
      </c>
      <c r="K143" s="2">
        <v>0</v>
      </c>
      <c r="L143" s="4">
        <v>0.03</v>
      </c>
    </row>
    <row r="144" spans="1:12" x14ac:dyDescent="0.25">
      <c r="A144" s="5">
        <v>45201</v>
      </c>
      <c r="B144" s="1" t="s">
        <v>28</v>
      </c>
      <c r="C144" s="1" t="s">
        <v>17</v>
      </c>
      <c r="D144" s="2">
        <v>4.2099999999999999E-2</v>
      </c>
      <c r="E144" s="3">
        <v>1</v>
      </c>
      <c r="F144" s="2" t="s">
        <v>14</v>
      </c>
      <c r="G144" s="2">
        <v>0</v>
      </c>
      <c r="H144" s="2" t="s">
        <v>14</v>
      </c>
      <c r="I144" s="2">
        <v>7.7499999999999999E-2</v>
      </c>
      <c r="J144" s="2" t="s">
        <v>14</v>
      </c>
      <c r="K144" s="2">
        <v>0</v>
      </c>
      <c r="L144" s="4">
        <v>0.03</v>
      </c>
    </row>
    <row r="145" spans="1:12" x14ac:dyDescent="0.25">
      <c r="A145" s="5">
        <v>45201</v>
      </c>
      <c r="B145" s="1" t="s">
        <v>28</v>
      </c>
      <c r="C145" s="1" t="s">
        <v>18</v>
      </c>
      <c r="D145" s="2">
        <v>4.6899999999999997E-2</v>
      </c>
      <c r="E145" s="3">
        <v>1</v>
      </c>
      <c r="F145" s="2" t="s">
        <v>14</v>
      </c>
      <c r="G145" s="2">
        <v>0</v>
      </c>
      <c r="H145" s="2">
        <v>6.5000000000000002E-2</v>
      </c>
      <c r="I145" s="2" t="s">
        <v>14</v>
      </c>
      <c r="J145" s="2" t="s">
        <v>14</v>
      </c>
      <c r="K145" s="2">
        <v>0</v>
      </c>
      <c r="L145" s="4">
        <v>0.03</v>
      </c>
    </row>
    <row r="146" spans="1:12" x14ac:dyDescent="0.25">
      <c r="A146" s="5">
        <v>45201</v>
      </c>
      <c r="B146" s="1" t="s">
        <v>29</v>
      </c>
      <c r="C146" s="1" t="s">
        <v>13</v>
      </c>
      <c r="D146" s="2">
        <v>4.4900000000000002E-2</v>
      </c>
      <c r="E146" s="3">
        <v>1</v>
      </c>
      <c r="F146" s="2">
        <v>7.7499999999999999E-2</v>
      </c>
      <c r="G146" s="2">
        <v>0</v>
      </c>
      <c r="H146" s="2" t="s">
        <v>14</v>
      </c>
      <c r="I146" s="2" t="s">
        <v>14</v>
      </c>
      <c r="J146" s="2" t="s">
        <v>14</v>
      </c>
      <c r="K146" s="2">
        <v>0</v>
      </c>
      <c r="L146" s="4">
        <v>0.03</v>
      </c>
    </row>
    <row r="147" spans="1:12" x14ac:dyDescent="0.25">
      <c r="A147" s="5">
        <v>45201</v>
      </c>
      <c r="B147" s="1" t="s">
        <v>29</v>
      </c>
      <c r="C147" s="1" t="s">
        <v>16</v>
      </c>
      <c r="D147" s="2">
        <v>2.5000000000000001E-2</v>
      </c>
      <c r="E147" s="3">
        <v>1</v>
      </c>
      <c r="F147" s="2">
        <v>5.7500000000000002E-2</v>
      </c>
      <c r="G147" s="2">
        <v>1.4999999999999999E-2</v>
      </c>
      <c r="H147" s="2" t="s">
        <v>14</v>
      </c>
      <c r="I147" s="2" t="s">
        <v>14</v>
      </c>
      <c r="J147" s="2" t="s">
        <v>14</v>
      </c>
      <c r="K147" s="2">
        <v>0</v>
      </c>
      <c r="L147" s="4">
        <v>0.03</v>
      </c>
    </row>
    <row r="148" spans="1:12" x14ac:dyDescent="0.25">
      <c r="A148" s="5">
        <v>45201</v>
      </c>
      <c r="B148" s="1" t="s">
        <v>29</v>
      </c>
      <c r="C148" s="1" t="s">
        <v>17</v>
      </c>
      <c r="D148" s="2">
        <v>3.7600000000000001E-2</v>
      </c>
      <c r="E148" s="3">
        <v>1</v>
      </c>
      <c r="F148" s="2" t="s">
        <v>14</v>
      </c>
      <c r="G148" s="2">
        <v>0</v>
      </c>
      <c r="H148" s="2" t="s">
        <v>14</v>
      </c>
      <c r="I148" s="2">
        <v>8.6999999999999994E-2</v>
      </c>
      <c r="J148" s="2" t="s">
        <v>14</v>
      </c>
      <c r="K148" s="2">
        <v>0</v>
      </c>
      <c r="L148" s="4">
        <v>0.03</v>
      </c>
    </row>
    <row r="149" spans="1:12" x14ac:dyDescent="0.25">
      <c r="A149" s="5">
        <v>45201</v>
      </c>
      <c r="B149" s="1" t="s">
        <v>29</v>
      </c>
      <c r="C149" s="1" t="s">
        <v>18</v>
      </c>
      <c r="D149" s="2">
        <v>4.1099999999999998E-2</v>
      </c>
      <c r="E149" s="3">
        <v>1</v>
      </c>
      <c r="F149" s="2" t="s">
        <v>14</v>
      </c>
      <c r="G149" s="2">
        <v>0</v>
      </c>
      <c r="H149" s="2">
        <v>5.7000000000000002E-2</v>
      </c>
      <c r="I149" s="2" t="s">
        <v>14</v>
      </c>
      <c r="J149" s="2" t="s">
        <v>14</v>
      </c>
      <c r="K149" s="2">
        <v>0</v>
      </c>
      <c r="L149" s="4">
        <v>0.03</v>
      </c>
    </row>
    <row r="150" spans="1:12" x14ac:dyDescent="0.25">
      <c r="A150" s="5">
        <v>45231</v>
      </c>
      <c r="B150" s="1" t="s">
        <v>12</v>
      </c>
      <c r="C150" s="1" t="s">
        <v>13</v>
      </c>
      <c r="D150" s="2">
        <v>5.3900000000000003E-2</v>
      </c>
      <c r="E150" s="3">
        <v>1</v>
      </c>
      <c r="F150" s="2">
        <v>9.7500000000000003E-2</v>
      </c>
      <c r="G150" s="2">
        <v>0</v>
      </c>
      <c r="H150" s="2" t="s">
        <v>14</v>
      </c>
      <c r="I150" s="2" t="s">
        <v>14</v>
      </c>
      <c r="J150" s="2" t="s">
        <v>14</v>
      </c>
      <c r="K150" s="2">
        <v>0</v>
      </c>
      <c r="L150" s="4">
        <v>0.03</v>
      </c>
    </row>
    <row r="151" spans="1:12" x14ac:dyDescent="0.25">
      <c r="A151" s="5">
        <v>45231</v>
      </c>
      <c r="B151" s="1" t="s">
        <v>15</v>
      </c>
      <c r="C151" s="1" t="s">
        <v>13</v>
      </c>
      <c r="D151" s="2">
        <v>5.3900000000000003E-2</v>
      </c>
      <c r="E151" s="3">
        <v>1</v>
      </c>
      <c r="F151" s="2">
        <v>9.7500000000000003E-2</v>
      </c>
      <c r="G151" s="2">
        <v>0</v>
      </c>
      <c r="H151" s="2" t="s">
        <v>14</v>
      </c>
      <c r="I151" s="2" t="s">
        <v>14</v>
      </c>
      <c r="J151" s="2" t="s">
        <v>14</v>
      </c>
      <c r="K151" s="2">
        <v>0</v>
      </c>
      <c r="L151" s="4">
        <v>0.03</v>
      </c>
    </row>
    <row r="152" spans="1:12" x14ac:dyDescent="0.25">
      <c r="A152" s="5">
        <v>45231</v>
      </c>
      <c r="B152" s="1" t="s">
        <v>15</v>
      </c>
      <c r="C152" s="1" t="s">
        <v>16</v>
      </c>
      <c r="D152" s="2">
        <v>3.8600000000000002E-2</v>
      </c>
      <c r="E152" s="3">
        <v>1</v>
      </c>
      <c r="F152" s="2">
        <v>8.5000000000000006E-2</v>
      </c>
      <c r="G152" s="2">
        <v>1.4999999999999999E-2</v>
      </c>
      <c r="H152" s="2" t="s">
        <v>14</v>
      </c>
      <c r="I152" s="2" t="s">
        <v>14</v>
      </c>
      <c r="J152" s="2" t="s">
        <v>14</v>
      </c>
      <c r="K152" s="2">
        <v>0</v>
      </c>
      <c r="L152" s="4">
        <v>0.03</v>
      </c>
    </row>
    <row r="153" spans="1:12" x14ac:dyDescent="0.25">
      <c r="A153" s="5">
        <v>45231</v>
      </c>
      <c r="B153" s="1" t="s">
        <v>15</v>
      </c>
      <c r="C153" s="1" t="s">
        <v>17</v>
      </c>
      <c r="D153" s="2">
        <v>4.6300000000000001E-2</v>
      </c>
      <c r="E153" s="3">
        <v>1</v>
      </c>
      <c r="F153" s="2" t="s">
        <v>14</v>
      </c>
      <c r="G153" s="2">
        <v>0</v>
      </c>
      <c r="H153" s="2" t="s">
        <v>14</v>
      </c>
      <c r="I153" s="2">
        <v>0.08</v>
      </c>
      <c r="J153" s="2" t="s">
        <v>14</v>
      </c>
      <c r="K153" s="2">
        <v>0</v>
      </c>
      <c r="L153" s="4">
        <v>0.03</v>
      </c>
    </row>
    <row r="154" spans="1:12" x14ac:dyDescent="0.25">
      <c r="A154" s="5">
        <v>45231</v>
      </c>
      <c r="B154" s="1" t="s">
        <v>15</v>
      </c>
      <c r="C154" s="1" t="s">
        <v>18</v>
      </c>
      <c r="D154" s="2">
        <v>5.2900000000000003E-2</v>
      </c>
      <c r="E154" s="3">
        <v>1</v>
      </c>
      <c r="F154" s="2" t="s">
        <v>14</v>
      </c>
      <c r="G154" s="2">
        <v>0</v>
      </c>
      <c r="H154" s="2">
        <v>7.4999999999999997E-2</v>
      </c>
      <c r="I154" s="2" t="s">
        <v>14</v>
      </c>
      <c r="J154" s="2" t="s">
        <v>14</v>
      </c>
      <c r="K154" s="2">
        <v>0</v>
      </c>
      <c r="L154" s="4">
        <v>0.03</v>
      </c>
    </row>
    <row r="155" spans="1:12" x14ac:dyDescent="0.25">
      <c r="A155" s="5">
        <v>45231</v>
      </c>
      <c r="B155" s="1" t="s">
        <v>19</v>
      </c>
      <c r="C155" s="1" t="s">
        <v>13</v>
      </c>
      <c r="D155" s="2">
        <v>4.2099999999999999E-2</v>
      </c>
      <c r="E155" s="3">
        <v>1</v>
      </c>
      <c r="F155" s="2">
        <v>7.2499999999999995E-2</v>
      </c>
      <c r="G155" s="2">
        <v>0</v>
      </c>
      <c r="H155" s="2" t="s">
        <v>14</v>
      </c>
      <c r="I155" s="2" t="s">
        <v>14</v>
      </c>
      <c r="J155" s="2" t="s">
        <v>14</v>
      </c>
      <c r="K155" s="2">
        <v>0</v>
      </c>
      <c r="L155" s="4">
        <v>0.03</v>
      </c>
    </row>
    <row r="156" spans="1:12" x14ac:dyDescent="0.25">
      <c r="A156" s="5">
        <v>45231</v>
      </c>
      <c r="B156" s="1" t="s">
        <v>19</v>
      </c>
      <c r="C156" s="1" t="s">
        <v>16</v>
      </c>
      <c r="D156" s="2">
        <v>2.6100000000000002E-2</v>
      </c>
      <c r="E156" s="3">
        <v>1</v>
      </c>
      <c r="F156" s="2">
        <v>0.06</v>
      </c>
      <c r="G156" s="2">
        <v>1.4999999999999999E-2</v>
      </c>
      <c r="H156" s="2" t="s">
        <v>14</v>
      </c>
      <c r="I156" s="2" t="s">
        <v>14</v>
      </c>
      <c r="J156" s="2" t="s">
        <v>14</v>
      </c>
      <c r="K156" s="2">
        <v>0</v>
      </c>
      <c r="L156" s="4">
        <v>0.03</v>
      </c>
    </row>
    <row r="157" spans="1:12" x14ac:dyDescent="0.25">
      <c r="A157" s="5">
        <v>45231</v>
      </c>
      <c r="B157" s="1" t="s">
        <v>19</v>
      </c>
      <c r="C157" s="1" t="s">
        <v>17</v>
      </c>
      <c r="D157" s="2">
        <v>4.1599999999999998E-2</v>
      </c>
      <c r="E157" s="3">
        <v>1</v>
      </c>
      <c r="F157" s="2" t="s">
        <v>14</v>
      </c>
      <c r="G157" s="2">
        <v>0</v>
      </c>
      <c r="H157" s="2" t="s">
        <v>14</v>
      </c>
      <c r="I157" s="2">
        <v>0.09</v>
      </c>
      <c r="J157" s="2" t="s">
        <v>14</v>
      </c>
      <c r="K157" s="2">
        <v>0</v>
      </c>
      <c r="L157" s="4">
        <v>0.03</v>
      </c>
    </row>
    <row r="158" spans="1:12" x14ac:dyDescent="0.25">
      <c r="A158" s="5">
        <v>45231</v>
      </c>
      <c r="B158" s="1" t="s">
        <v>19</v>
      </c>
      <c r="C158" s="1" t="s">
        <v>18</v>
      </c>
      <c r="D158" s="2">
        <v>4.2299999999999997E-2</v>
      </c>
      <c r="E158" s="3">
        <v>1</v>
      </c>
      <c r="F158" s="2" t="s">
        <v>14</v>
      </c>
      <c r="G158" s="2">
        <v>0</v>
      </c>
      <c r="H158" s="2">
        <v>0.06</v>
      </c>
      <c r="I158" s="2" t="s">
        <v>14</v>
      </c>
      <c r="J158" s="2" t="s">
        <v>14</v>
      </c>
      <c r="K158" s="2">
        <v>0</v>
      </c>
      <c r="L158" s="4">
        <v>0.03</v>
      </c>
    </row>
    <row r="159" spans="1:12" x14ac:dyDescent="0.25">
      <c r="A159" s="5">
        <v>45231</v>
      </c>
      <c r="B159" s="1" t="s">
        <v>20</v>
      </c>
      <c r="C159" s="1" t="s">
        <v>13</v>
      </c>
      <c r="D159" s="2">
        <v>5.3900000000000003E-2</v>
      </c>
      <c r="E159" s="3">
        <v>1</v>
      </c>
      <c r="F159" s="2">
        <v>9.7500000000000003E-2</v>
      </c>
      <c r="G159" s="2">
        <v>0</v>
      </c>
      <c r="H159" s="2" t="s">
        <v>14</v>
      </c>
      <c r="I159" s="2" t="s">
        <v>14</v>
      </c>
      <c r="J159" s="2" t="s">
        <v>14</v>
      </c>
      <c r="K159" s="2">
        <v>0</v>
      </c>
      <c r="L159" s="4">
        <v>0.03</v>
      </c>
    </row>
    <row r="160" spans="1:12" x14ac:dyDescent="0.25">
      <c r="A160" s="5">
        <v>45231</v>
      </c>
      <c r="B160" s="1" t="s">
        <v>20</v>
      </c>
      <c r="C160" s="1" t="s">
        <v>17</v>
      </c>
      <c r="D160" s="2">
        <v>4.6300000000000001E-2</v>
      </c>
      <c r="E160" s="3">
        <v>1</v>
      </c>
      <c r="F160" s="2" t="s">
        <v>14</v>
      </c>
      <c r="G160" s="2">
        <v>0</v>
      </c>
      <c r="H160" s="2" t="s">
        <v>14</v>
      </c>
      <c r="I160" s="2">
        <v>0.08</v>
      </c>
      <c r="J160" s="2" t="s">
        <v>14</v>
      </c>
      <c r="K160" s="2">
        <v>0</v>
      </c>
      <c r="L160" s="4">
        <v>0.03</v>
      </c>
    </row>
    <row r="161" spans="1:12" x14ac:dyDescent="0.25">
      <c r="A161" s="5">
        <v>45231</v>
      </c>
      <c r="B161" s="1" t="s">
        <v>20</v>
      </c>
      <c r="C161" s="1" t="s">
        <v>21</v>
      </c>
      <c r="D161" s="2">
        <v>6.3E-2</v>
      </c>
      <c r="E161" s="3">
        <v>1</v>
      </c>
      <c r="F161" s="2">
        <v>0.12</v>
      </c>
      <c r="G161" s="2">
        <v>0</v>
      </c>
      <c r="H161" s="2" t="s">
        <v>14</v>
      </c>
      <c r="I161" s="2" t="s">
        <v>14</v>
      </c>
      <c r="J161" s="2">
        <v>4.1500000000000002E-2</v>
      </c>
      <c r="K161" s="2">
        <v>0.6</v>
      </c>
      <c r="L161" s="4">
        <v>0.03</v>
      </c>
    </row>
    <row r="162" spans="1:12" x14ac:dyDescent="0.25">
      <c r="A162" s="5">
        <v>45231</v>
      </c>
      <c r="B162" s="1" t="s">
        <v>20</v>
      </c>
      <c r="C162" s="1" t="s">
        <v>22</v>
      </c>
      <c r="D162" s="2">
        <v>6.3E-2</v>
      </c>
      <c r="E162" s="3">
        <v>1</v>
      </c>
      <c r="F162" s="2">
        <v>0.12</v>
      </c>
      <c r="G162" s="2">
        <v>0</v>
      </c>
      <c r="H162" s="2" t="s">
        <v>14</v>
      </c>
      <c r="I162" s="2" t="s">
        <v>14</v>
      </c>
      <c r="J162" s="2">
        <v>2.1499999999999998E-2</v>
      </c>
      <c r="K162" s="2">
        <v>0.24</v>
      </c>
      <c r="L162" s="4">
        <v>0.03</v>
      </c>
    </row>
    <row r="163" spans="1:12" x14ac:dyDescent="0.25">
      <c r="A163" s="5">
        <v>45231</v>
      </c>
      <c r="B163" s="1" t="s">
        <v>23</v>
      </c>
      <c r="C163" s="1" t="s">
        <v>24</v>
      </c>
      <c r="D163" s="2">
        <v>2.2235996610802201E-2</v>
      </c>
      <c r="E163" s="3">
        <v>2.4</v>
      </c>
      <c r="F163" s="2" t="s">
        <v>14</v>
      </c>
      <c r="G163" s="2">
        <v>0</v>
      </c>
      <c r="H163" s="2" t="s">
        <v>14</v>
      </c>
      <c r="I163" s="2" t="s">
        <v>14</v>
      </c>
      <c r="J163" s="2" t="s">
        <v>14</v>
      </c>
      <c r="K163" s="2">
        <v>0</v>
      </c>
      <c r="L163" s="4">
        <v>0.03</v>
      </c>
    </row>
    <row r="164" spans="1:12" x14ac:dyDescent="0.25">
      <c r="A164" s="5">
        <v>45231</v>
      </c>
      <c r="B164" s="1" t="s">
        <v>23</v>
      </c>
      <c r="C164" s="1" t="s">
        <v>25</v>
      </c>
      <c r="D164" s="2">
        <v>5.4052816744047529E-2</v>
      </c>
      <c r="E164" s="3">
        <v>1</v>
      </c>
      <c r="F164" s="2">
        <v>0.10249999999999999</v>
      </c>
      <c r="G164" s="2">
        <v>0</v>
      </c>
      <c r="H164" s="2" t="s">
        <v>14</v>
      </c>
      <c r="I164" s="2" t="s">
        <v>14</v>
      </c>
      <c r="J164" s="2" t="s">
        <v>14</v>
      </c>
      <c r="K164" s="2">
        <v>0</v>
      </c>
      <c r="L164" s="4">
        <v>0.03</v>
      </c>
    </row>
    <row r="165" spans="1:12" x14ac:dyDescent="0.25">
      <c r="A165" s="5">
        <v>45231</v>
      </c>
      <c r="B165" s="1" t="s">
        <v>23</v>
      </c>
      <c r="C165" s="1" t="s">
        <v>13</v>
      </c>
      <c r="D165" s="2">
        <v>5.6099999999999997E-2</v>
      </c>
      <c r="E165" s="3">
        <v>1</v>
      </c>
      <c r="F165" s="2">
        <v>0.10249999999999999</v>
      </c>
      <c r="G165" s="2">
        <v>0</v>
      </c>
      <c r="H165" s="2" t="s">
        <v>14</v>
      </c>
      <c r="I165" s="2" t="s">
        <v>14</v>
      </c>
      <c r="J165" s="2" t="s">
        <v>14</v>
      </c>
      <c r="K165" s="2">
        <v>0</v>
      </c>
      <c r="L165" s="4">
        <v>0.03</v>
      </c>
    </row>
    <row r="166" spans="1:12" x14ac:dyDescent="0.25">
      <c r="A166" s="5">
        <v>45231</v>
      </c>
      <c r="B166" s="1" t="s">
        <v>23</v>
      </c>
      <c r="C166" s="1" t="s">
        <v>17</v>
      </c>
      <c r="D166" s="2">
        <v>4.6300000000000001E-2</v>
      </c>
      <c r="E166" s="3">
        <v>1</v>
      </c>
      <c r="F166" s="2" t="s">
        <v>14</v>
      </c>
      <c r="G166" s="2">
        <v>0</v>
      </c>
      <c r="H166" s="2" t="s">
        <v>14</v>
      </c>
      <c r="I166" s="2">
        <v>0.08</v>
      </c>
      <c r="J166" s="2" t="s">
        <v>14</v>
      </c>
      <c r="K166" s="2">
        <v>0</v>
      </c>
      <c r="L166" s="4">
        <v>0.03</v>
      </c>
    </row>
    <row r="167" spans="1:12" x14ac:dyDescent="0.25">
      <c r="A167" s="5">
        <v>45231</v>
      </c>
      <c r="B167" s="1" t="s">
        <v>23</v>
      </c>
      <c r="C167" s="1" t="s">
        <v>21</v>
      </c>
      <c r="D167" s="2">
        <v>6.3E-2</v>
      </c>
      <c r="E167" s="3">
        <v>1</v>
      </c>
      <c r="F167" s="2">
        <v>0.12</v>
      </c>
      <c r="G167" s="2">
        <v>0</v>
      </c>
      <c r="H167" s="2" t="s">
        <v>14</v>
      </c>
      <c r="I167" s="2" t="s">
        <v>14</v>
      </c>
      <c r="J167" s="2">
        <v>4.1500000000000002E-2</v>
      </c>
      <c r="K167" s="2">
        <v>0.6</v>
      </c>
      <c r="L167" s="4">
        <v>0.03</v>
      </c>
    </row>
    <row r="168" spans="1:12" x14ac:dyDescent="0.25">
      <c r="A168" s="5">
        <v>45231</v>
      </c>
      <c r="B168" s="1" t="s">
        <v>23</v>
      </c>
      <c r="C168" s="1" t="s">
        <v>22</v>
      </c>
      <c r="D168" s="2">
        <v>6.3E-2</v>
      </c>
      <c r="E168" s="3">
        <v>1</v>
      </c>
      <c r="F168" s="2">
        <v>0.12</v>
      </c>
      <c r="G168" s="2">
        <v>0</v>
      </c>
      <c r="H168" s="2" t="s">
        <v>14</v>
      </c>
      <c r="I168" s="2" t="s">
        <v>14</v>
      </c>
      <c r="J168" s="2">
        <v>2.1499999999999998E-2</v>
      </c>
      <c r="K168" s="2">
        <v>0.24</v>
      </c>
      <c r="L168" s="4">
        <v>0.03</v>
      </c>
    </row>
    <row r="169" spans="1:12" x14ac:dyDescent="0.25">
      <c r="A169" s="5">
        <v>45231</v>
      </c>
      <c r="B169" s="1" t="s">
        <v>26</v>
      </c>
      <c r="C169" s="1" t="s">
        <v>24</v>
      </c>
      <c r="D169" s="2">
        <v>2.2235996610802201E-2</v>
      </c>
      <c r="E169" s="3">
        <v>2.4</v>
      </c>
      <c r="F169" s="2" t="s">
        <v>14</v>
      </c>
      <c r="G169" s="2">
        <v>0</v>
      </c>
      <c r="H169" s="2" t="s">
        <v>14</v>
      </c>
      <c r="I169" s="2" t="s">
        <v>14</v>
      </c>
      <c r="J169" s="2" t="s">
        <v>14</v>
      </c>
      <c r="K169" s="2">
        <v>0</v>
      </c>
      <c r="L169" s="4">
        <v>0.03</v>
      </c>
    </row>
    <row r="170" spans="1:12" x14ac:dyDescent="0.25">
      <c r="A170" s="5">
        <v>45231</v>
      </c>
      <c r="B170" s="1" t="s">
        <v>26</v>
      </c>
      <c r="C170" s="1" t="s">
        <v>25</v>
      </c>
      <c r="D170" s="2">
        <v>5.2999999999999999E-2</v>
      </c>
      <c r="E170" s="3">
        <v>1</v>
      </c>
      <c r="F170" s="2">
        <v>0.1</v>
      </c>
      <c r="G170" s="2">
        <v>0</v>
      </c>
      <c r="H170" s="2" t="s">
        <v>14</v>
      </c>
      <c r="I170" s="2" t="s">
        <v>14</v>
      </c>
      <c r="J170" s="2" t="s">
        <v>14</v>
      </c>
      <c r="K170" s="2">
        <v>0</v>
      </c>
      <c r="L170" s="4">
        <v>0.03</v>
      </c>
    </row>
    <row r="171" spans="1:12" x14ac:dyDescent="0.25">
      <c r="A171" s="5">
        <v>45231</v>
      </c>
      <c r="B171" s="1" t="s">
        <v>26</v>
      </c>
      <c r="C171" s="1" t="s">
        <v>13</v>
      </c>
      <c r="D171" s="2">
        <v>5.5E-2</v>
      </c>
      <c r="E171" s="3">
        <v>1</v>
      </c>
      <c r="F171" s="2">
        <v>0.1</v>
      </c>
      <c r="G171" s="2">
        <v>0</v>
      </c>
      <c r="H171" s="2" t="s">
        <v>14</v>
      </c>
      <c r="I171" s="2" t="s">
        <v>14</v>
      </c>
      <c r="J171" s="2" t="s">
        <v>14</v>
      </c>
      <c r="K171" s="2">
        <v>0</v>
      </c>
      <c r="L171" s="4">
        <v>0.03</v>
      </c>
    </row>
    <row r="172" spans="1:12" x14ac:dyDescent="0.25">
      <c r="A172" s="5">
        <v>45231</v>
      </c>
      <c r="B172" s="1" t="s">
        <v>26</v>
      </c>
      <c r="C172" s="1" t="s">
        <v>17</v>
      </c>
      <c r="D172" s="2">
        <v>4.6300000000000001E-2</v>
      </c>
      <c r="E172" s="3">
        <v>1</v>
      </c>
      <c r="F172" s="2" t="s">
        <v>14</v>
      </c>
      <c r="G172" s="2">
        <v>0</v>
      </c>
      <c r="H172" s="2" t="s">
        <v>14</v>
      </c>
      <c r="I172" s="2">
        <v>0.08</v>
      </c>
      <c r="J172" s="2" t="s">
        <v>14</v>
      </c>
      <c r="K172" s="2">
        <v>0</v>
      </c>
      <c r="L172" s="4">
        <v>0.03</v>
      </c>
    </row>
    <row r="173" spans="1:12" x14ac:dyDescent="0.25">
      <c r="A173" s="5">
        <v>45231</v>
      </c>
      <c r="B173" s="1" t="s">
        <v>26</v>
      </c>
      <c r="C173" s="1" t="s">
        <v>21</v>
      </c>
      <c r="D173" s="2">
        <v>6.3E-2</v>
      </c>
      <c r="E173" s="3">
        <v>1</v>
      </c>
      <c r="F173" s="2">
        <v>0.12</v>
      </c>
      <c r="G173" s="2">
        <v>0</v>
      </c>
      <c r="H173" s="2" t="s">
        <v>14</v>
      </c>
      <c r="I173" s="2" t="s">
        <v>14</v>
      </c>
      <c r="J173" s="2">
        <v>4.1500000000000002E-2</v>
      </c>
      <c r="K173" s="2">
        <v>0.6</v>
      </c>
      <c r="L173" s="4">
        <v>0.03</v>
      </c>
    </row>
    <row r="174" spans="1:12" x14ac:dyDescent="0.25">
      <c r="A174" s="5">
        <v>45231</v>
      </c>
      <c r="B174" s="1" t="s">
        <v>26</v>
      </c>
      <c r="C174" s="1" t="s">
        <v>22</v>
      </c>
      <c r="D174" s="2">
        <v>6.3E-2</v>
      </c>
      <c r="E174" s="3">
        <v>1</v>
      </c>
      <c r="F174" s="2">
        <v>0.12</v>
      </c>
      <c r="G174" s="2">
        <v>0</v>
      </c>
      <c r="H174" s="2" t="s">
        <v>14</v>
      </c>
      <c r="I174" s="2" t="s">
        <v>14</v>
      </c>
      <c r="J174" s="2">
        <v>2.1499999999999998E-2</v>
      </c>
      <c r="K174" s="2">
        <v>0.24</v>
      </c>
      <c r="L174" s="4">
        <v>0.03</v>
      </c>
    </row>
    <row r="175" spans="1:12" x14ac:dyDescent="0.25">
      <c r="A175" s="5">
        <v>45231</v>
      </c>
      <c r="B175" s="1" t="s">
        <v>27</v>
      </c>
      <c r="C175" s="1" t="s">
        <v>13</v>
      </c>
      <c r="D175" s="2">
        <v>5.1660299988987121E-2</v>
      </c>
      <c r="E175" s="3">
        <v>1</v>
      </c>
      <c r="F175" s="2">
        <v>9.2499999999999999E-2</v>
      </c>
      <c r="G175" s="2">
        <v>0</v>
      </c>
      <c r="H175" s="2" t="s">
        <v>14</v>
      </c>
      <c r="I175" s="2" t="s">
        <v>14</v>
      </c>
      <c r="J175" s="2" t="s">
        <v>14</v>
      </c>
      <c r="K175" s="2">
        <v>0</v>
      </c>
      <c r="L175" s="4">
        <v>0.03</v>
      </c>
    </row>
    <row r="176" spans="1:12" x14ac:dyDescent="0.25">
      <c r="A176" s="5">
        <v>45231</v>
      </c>
      <c r="B176" s="1" t="s">
        <v>27</v>
      </c>
      <c r="C176" s="1" t="s">
        <v>17</v>
      </c>
      <c r="D176" s="2">
        <v>4.1617546527253184E-2</v>
      </c>
      <c r="E176" s="3">
        <v>1</v>
      </c>
      <c r="F176" s="2" t="s">
        <v>14</v>
      </c>
      <c r="G176" s="2">
        <v>0</v>
      </c>
      <c r="H176" s="2" t="s">
        <v>14</v>
      </c>
      <c r="I176" s="2">
        <v>0.09</v>
      </c>
      <c r="J176" s="2" t="s">
        <v>14</v>
      </c>
      <c r="K176" s="2">
        <v>0</v>
      </c>
      <c r="L176" s="4">
        <v>0.03</v>
      </c>
    </row>
    <row r="177" spans="1:12" x14ac:dyDescent="0.25">
      <c r="A177" s="5">
        <v>45231</v>
      </c>
      <c r="B177" s="1" t="s">
        <v>27</v>
      </c>
      <c r="C177" s="1" t="s">
        <v>24</v>
      </c>
      <c r="D177" s="2">
        <v>2.2235996610802201E-2</v>
      </c>
      <c r="E177" s="3">
        <v>2.2000000000000002</v>
      </c>
      <c r="F177" s="2" t="s">
        <v>14</v>
      </c>
      <c r="G177" s="2">
        <v>0</v>
      </c>
      <c r="H177" s="2" t="s">
        <v>14</v>
      </c>
      <c r="I177" s="2" t="s">
        <v>14</v>
      </c>
      <c r="J177" s="2" t="s">
        <v>14</v>
      </c>
      <c r="K177" s="2">
        <v>0</v>
      </c>
      <c r="L177" s="4">
        <v>0.03</v>
      </c>
    </row>
    <row r="178" spans="1:12" x14ac:dyDescent="0.25">
      <c r="A178" s="5">
        <v>45231</v>
      </c>
      <c r="B178" s="1" t="s">
        <v>27</v>
      </c>
      <c r="C178" s="1" t="s">
        <v>25</v>
      </c>
      <c r="D178" s="2">
        <v>4.9590128968774787E-2</v>
      </c>
      <c r="E178" s="3">
        <v>1</v>
      </c>
      <c r="F178" s="2">
        <v>9.2499999999999999E-2</v>
      </c>
      <c r="G178" s="2">
        <v>0</v>
      </c>
      <c r="H178" s="2" t="s">
        <v>14</v>
      </c>
      <c r="I178" s="2" t="s">
        <v>14</v>
      </c>
      <c r="J178" s="2" t="s">
        <v>14</v>
      </c>
      <c r="K178" s="2">
        <v>0</v>
      </c>
      <c r="L178" s="4">
        <v>0.03</v>
      </c>
    </row>
    <row r="179" spans="1:12" x14ac:dyDescent="0.25">
      <c r="A179" s="5">
        <v>45231</v>
      </c>
      <c r="B179" s="1" t="s">
        <v>28</v>
      </c>
      <c r="C179" s="1" t="s">
        <v>13</v>
      </c>
      <c r="D179" s="2">
        <v>4.82E-2</v>
      </c>
      <c r="E179" s="3">
        <v>1</v>
      </c>
      <c r="F179" s="2">
        <v>8.5000000000000006E-2</v>
      </c>
      <c r="G179" s="2">
        <v>0</v>
      </c>
      <c r="H179" s="2" t="s">
        <v>14</v>
      </c>
      <c r="I179" s="2" t="s">
        <v>14</v>
      </c>
      <c r="J179" s="2" t="s">
        <v>14</v>
      </c>
      <c r="K179" s="2">
        <v>0</v>
      </c>
      <c r="L179" s="4">
        <v>0.03</v>
      </c>
    </row>
    <row r="180" spans="1:12" x14ac:dyDescent="0.25">
      <c r="A180" s="5">
        <v>45231</v>
      </c>
      <c r="B180" s="1" t="s">
        <v>28</v>
      </c>
      <c r="C180" s="1" t="s">
        <v>16</v>
      </c>
      <c r="D180" s="2">
        <v>3.1300000000000001E-2</v>
      </c>
      <c r="E180" s="3">
        <v>1</v>
      </c>
      <c r="F180" s="2">
        <v>7.0000000000000007E-2</v>
      </c>
      <c r="G180" s="2">
        <v>1.4999999999999999E-2</v>
      </c>
      <c r="H180" s="2" t="s">
        <v>14</v>
      </c>
      <c r="I180" s="2" t="s">
        <v>14</v>
      </c>
      <c r="J180" s="2" t="s">
        <v>14</v>
      </c>
      <c r="K180" s="2">
        <v>0</v>
      </c>
      <c r="L180" s="4">
        <v>0.03</v>
      </c>
    </row>
    <row r="181" spans="1:12" x14ac:dyDescent="0.25">
      <c r="A181" s="5">
        <v>45231</v>
      </c>
      <c r="B181" s="1" t="s">
        <v>28</v>
      </c>
      <c r="C181" s="1" t="s">
        <v>17</v>
      </c>
      <c r="D181" s="2">
        <v>4.7600000000000003E-2</v>
      </c>
      <c r="E181" s="3">
        <v>1</v>
      </c>
      <c r="F181" s="2" t="s">
        <v>14</v>
      </c>
      <c r="G181" s="2">
        <v>0</v>
      </c>
      <c r="H181" s="2" t="s">
        <v>14</v>
      </c>
      <c r="I181" s="2">
        <v>7.7499999999999999E-2</v>
      </c>
      <c r="J181" s="2" t="s">
        <v>14</v>
      </c>
      <c r="K181" s="2">
        <v>0</v>
      </c>
      <c r="L181" s="4">
        <v>0.03</v>
      </c>
    </row>
    <row r="182" spans="1:12" x14ac:dyDescent="0.25">
      <c r="A182" s="5">
        <v>45231</v>
      </c>
      <c r="B182" s="1" t="s">
        <v>28</v>
      </c>
      <c r="C182" s="1" t="s">
        <v>18</v>
      </c>
      <c r="D182" s="2">
        <v>4.5900000000000003E-2</v>
      </c>
      <c r="E182" s="3">
        <v>1</v>
      </c>
      <c r="F182" s="2" t="s">
        <v>14</v>
      </c>
      <c r="G182" s="2">
        <v>0</v>
      </c>
      <c r="H182" s="2">
        <v>6.5000000000000002E-2</v>
      </c>
      <c r="I182" s="2" t="s">
        <v>14</v>
      </c>
      <c r="J182" s="2" t="s">
        <v>14</v>
      </c>
      <c r="K182" s="2">
        <v>0</v>
      </c>
      <c r="L182" s="4">
        <v>0.03</v>
      </c>
    </row>
    <row r="183" spans="1:12" x14ac:dyDescent="0.25">
      <c r="A183" s="5">
        <v>45231</v>
      </c>
      <c r="B183" s="1" t="s">
        <v>29</v>
      </c>
      <c r="C183" s="1" t="s">
        <v>13</v>
      </c>
      <c r="D183" s="2">
        <v>4.4600000000000001E-2</v>
      </c>
      <c r="E183" s="3">
        <v>1</v>
      </c>
      <c r="F183" s="2">
        <v>7.7499999999999999E-2</v>
      </c>
      <c r="G183" s="2">
        <v>0</v>
      </c>
      <c r="H183" s="2" t="s">
        <v>14</v>
      </c>
      <c r="I183" s="2" t="s">
        <v>14</v>
      </c>
      <c r="J183" s="2" t="s">
        <v>14</v>
      </c>
      <c r="K183" s="2">
        <v>0</v>
      </c>
      <c r="L183" s="4">
        <v>0.03</v>
      </c>
    </row>
    <row r="184" spans="1:12" x14ac:dyDescent="0.25">
      <c r="A184" s="5">
        <v>45231</v>
      </c>
      <c r="B184" s="1" t="s">
        <v>29</v>
      </c>
      <c r="C184" s="1" t="s">
        <v>16</v>
      </c>
      <c r="D184" s="2">
        <v>2.47E-2</v>
      </c>
      <c r="E184" s="3">
        <v>1</v>
      </c>
      <c r="F184" s="2">
        <v>5.7500000000000002E-2</v>
      </c>
      <c r="G184" s="2">
        <v>1.4999999999999999E-2</v>
      </c>
      <c r="H184" s="2" t="s">
        <v>14</v>
      </c>
      <c r="I184" s="2" t="s">
        <v>14</v>
      </c>
      <c r="J184" s="2" t="s">
        <v>14</v>
      </c>
      <c r="K184" s="2">
        <v>0</v>
      </c>
      <c r="L184" s="4">
        <v>0.03</v>
      </c>
    </row>
    <row r="185" spans="1:12" x14ac:dyDescent="0.25">
      <c r="A185" s="5">
        <v>45231</v>
      </c>
      <c r="B185" s="1" t="s">
        <v>29</v>
      </c>
      <c r="C185" s="1" t="s">
        <v>17</v>
      </c>
      <c r="D185" s="2">
        <v>4.2999999999999997E-2</v>
      </c>
      <c r="E185" s="3">
        <v>1</v>
      </c>
      <c r="F185" s="2" t="s">
        <v>14</v>
      </c>
      <c r="G185" s="2">
        <v>0</v>
      </c>
      <c r="H185" s="2" t="s">
        <v>14</v>
      </c>
      <c r="I185" s="2">
        <v>8.6999999999999994E-2</v>
      </c>
      <c r="J185" s="2" t="s">
        <v>14</v>
      </c>
      <c r="K185" s="2">
        <v>0</v>
      </c>
      <c r="L185" s="4">
        <v>0.03</v>
      </c>
    </row>
    <row r="186" spans="1:12" x14ac:dyDescent="0.25">
      <c r="A186" s="5">
        <v>45231</v>
      </c>
      <c r="B186" s="1" t="s">
        <v>29</v>
      </c>
      <c r="C186" s="1" t="s">
        <v>18</v>
      </c>
      <c r="D186" s="2">
        <v>4.02E-2</v>
      </c>
      <c r="E186" s="3">
        <v>1</v>
      </c>
      <c r="F186" s="2" t="s">
        <v>14</v>
      </c>
      <c r="G186" s="2">
        <v>0</v>
      </c>
      <c r="H186" s="2">
        <v>5.7000000000000002E-2</v>
      </c>
      <c r="I186" s="2" t="s">
        <v>14</v>
      </c>
      <c r="J186" s="2" t="s">
        <v>14</v>
      </c>
      <c r="K186" s="2">
        <v>0</v>
      </c>
      <c r="L186" s="4">
        <v>0.03</v>
      </c>
    </row>
    <row r="187" spans="1:12" x14ac:dyDescent="0.25">
      <c r="A187" s="5">
        <v>45261</v>
      </c>
      <c r="B187" s="1" t="s">
        <v>12</v>
      </c>
      <c r="C187" s="1" t="s">
        <v>13</v>
      </c>
      <c r="D187" s="2">
        <v>5.33E-2</v>
      </c>
      <c r="E187" s="3">
        <v>1</v>
      </c>
      <c r="F187" s="2">
        <v>9.7500000000000003E-2</v>
      </c>
      <c r="G187" s="2">
        <v>0</v>
      </c>
      <c r="H187" s="2" t="s">
        <v>14</v>
      </c>
      <c r="I187" s="2" t="s">
        <v>14</v>
      </c>
      <c r="J187" s="2" t="s">
        <v>14</v>
      </c>
      <c r="K187" s="2">
        <v>0</v>
      </c>
      <c r="L187" s="4">
        <v>0.03</v>
      </c>
    </row>
    <row r="188" spans="1:12" x14ac:dyDescent="0.25">
      <c r="A188" s="5">
        <v>45261</v>
      </c>
      <c r="B188" s="1" t="s">
        <v>15</v>
      </c>
      <c r="C188" s="1" t="s">
        <v>13</v>
      </c>
      <c r="D188" s="2">
        <v>5.33E-2</v>
      </c>
      <c r="E188" s="3">
        <v>1</v>
      </c>
      <c r="F188" s="2">
        <v>9.7500000000000003E-2</v>
      </c>
      <c r="G188" s="2">
        <v>0</v>
      </c>
      <c r="H188" s="2" t="s">
        <v>14</v>
      </c>
      <c r="I188" s="2" t="s">
        <v>14</v>
      </c>
      <c r="J188" s="2" t="s">
        <v>14</v>
      </c>
      <c r="K188" s="2">
        <v>0</v>
      </c>
      <c r="L188" s="4">
        <v>0.03</v>
      </c>
    </row>
    <row r="189" spans="1:12" x14ac:dyDescent="0.25">
      <c r="A189" s="5">
        <v>45261</v>
      </c>
      <c r="B189" s="1" t="s">
        <v>15</v>
      </c>
      <c r="C189" s="1" t="s">
        <v>16</v>
      </c>
      <c r="D189" s="2">
        <v>3.8199999999999998E-2</v>
      </c>
      <c r="E189" s="3">
        <v>1</v>
      </c>
      <c r="F189" s="2">
        <v>8.5000000000000006E-2</v>
      </c>
      <c r="G189" s="2">
        <v>1.4999999999999999E-2</v>
      </c>
      <c r="H189" s="2" t="s">
        <v>14</v>
      </c>
      <c r="I189" s="2" t="s">
        <v>14</v>
      </c>
      <c r="J189" s="2" t="s">
        <v>14</v>
      </c>
      <c r="K189" s="2">
        <v>0</v>
      </c>
      <c r="L189" s="4">
        <v>0.03</v>
      </c>
    </row>
    <row r="190" spans="1:12" x14ac:dyDescent="0.25">
      <c r="A190" s="5">
        <v>45261</v>
      </c>
      <c r="B190" s="1" t="s">
        <v>15</v>
      </c>
      <c r="C190" s="1" t="s">
        <v>17</v>
      </c>
      <c r="D190" s="2">
        <v>4.1799999999999997E-2</v>
      </c>
      <c r="E190" s="3">
        <v>1</v>
      </c>
      <c r="F190" s="2" t="s">
        <v>14</v>
      </c>
      <c r="G190" s="2">
        <v>0</v>
      </c>
      <c r="H190" s="2" t="s">
        <v>14</v>
      </c>
      <c r="I190" s="2">
        <v>0.08</v>
      </c>
      <c r="J190" s="2" t="s">
        <v>14</v>
      </c>
      <c r="K190" s="2">
        <v>0</v>
      </c>
      <c r="L190" s="4">
        <v>0.03</v>
      </c>
    </row>
    <row r="191" spans="1:12" x14ac:dyDescent="0.25">
      <c r="A191" s="5">
        <v>45261</v>
      </c>
      <c r="B191" s="1" t="s">
        <v>15</v>
      </c>
      <c r="C191" s="1" t="s">
        <v>18</v>
      </c>
      <c r="D191" s="2">
        <v>5.3699999999999998E-2</v>
      </c>
      <c r="E191" s="3">
        <v>1</v>
      </c>
      <c r="F191" s="2" t="s">
        <v>14</v>
      </c>
      <c r="G191" s="2">
        <v>0</v>
      </c>
      <c r="H191" s="2">
        <v>7.4999999999999997E-2</v>
      </c>
      <c r="I191" s="2" t="s">
        <v>14</v>
      </c>
      <c r="J191" s="2" t="s">
        <v>14</v>
      </c>
      <c r="K191" s="2">
        <v>0</v>
      </c>
      <c r="L191" s="4">
        <v>0.03</v>
      </c>
    </row>
    <row r="192" spans="1:12" x14ac:dyDescent="0.25">
      <c r="A192" s="5">
        <v>45261</v>
      </c>
      <c r="B192" s="1" t="s">
        <v>19</v>
      </c>
      <c r="C192" s="1" t="s">
        <v>13</v>
      </c>
      <c r="D192" s="2">
        <v>4.1799999999999997E-2</v>
      </c>
      <c r="E192" s="3">
        <v>1</v>
      </c>
      <c r="F192" s="2">
        <v>7.2499999999999995E-2</v>
      </c>
      <c r="G192" s="2">
        <v>0</v>
      </c>
      <c r="H192" s="2" t="s">
        <v>14</v>
      </c>
      <c r="I192" s="2" t="s">
        <v>14</v>
      </c>
      <c r="J192" s="2" t="s">
        <v>14</v>
      </c>
      <c r="K192" s="2">
        <v>0</v>
      </c>
      <c r="L192" s="4">
        <v>0.03</v>
      </c>
    </row>
    <row r="193" spans="1:12" x14ac:dyDescent="0.25">
      <c r="A193" s="5">
        <v>45261</v>
      </c>
      <c r="B193" s="1" t="s">
        <v>19</v>
      </c>
      <c r="C193" s="1" t="s">
        <v>16</v>
      </c>
      <c r="D193" s="2">
        <v>2.5899999999999999E-2</v>
      </c>
      <c r="E193" s="3">
        <v>1</v>
      </c>
      <c r="F193" s="2">
        <v>0.06</v>
      </c>
      <c r="G193" s="2">
        <v>1.4999999999999999E-2</v>
      </c>
      <c r="H193" s="2" t="s">
        <v>14</v>
      </c>
      <c r="I193" s="2" t="s">
        <v>14</v>
      </c>
      <c r="J193" s="2" t="s">
        <v>14</v>
      </c>
      <c r="K193" s="2">
        <v>0</v>
      </c>
      <c r="L193" s="4">
        <v>0.03</v>
      </c>
    </row>
    <row r="194" spans="1:12" x14ac:dyDescent="0.25">
      <c r="A194" s="5">
        <v>45261</v>
      </c>
      <c r="B194" s="1" t="s">
        <v>19</v>
      </c>
      <c r="C194" s="1" t="s">
        <v>17</v>
      </c>
      <c r="D194" s="2">
        <v>3.7199999999999997E-2</v>
      </c>
      <c r="E194" s="3">
        <v>1</v>
      </c>
      <c r="F194" s="2" t="s">
        <v>14</v>
      </c>
      <c r="G194" s="2">
        <v>0</v>
      </c>
      <c r="H194" s="2" t="s">
        <v>14</v>
      </c>
      <c r="I194" s="2">
        <v>0.09</v>
      </c>
      <c r="J194" s="2" t="s">
        <v>14</v>
      </c>
      <c r="K194" s="2">
        <v>0</v>
      </c>
      <c r="L194" s="4">
        <v>0.03</v>
      </c>
    </row>
    <row r="195" spans="1:12" x14ac:dyDescent="0.25">
      <c r="A195" s="5">
        <v>45261</v>
      </c>
      <c r="B195" s="1" t="s">
        <v>19</v>
      </c>
      <c r="C195" s="1" t="s">
        <v>18</v>
      </c>
      <c r="D195" s="2">
        <v>4.2900000000000001E-2</v>
      </c>
      <c r="E195" s="3">
        <v>1</v>
      </c>
      <c r="F195" s="2" t="s">
        <v>14</v>
      </c>
      <c r="G195" s="2">
        <v>0</v>
      </c>
      <c r="H195" s="2">
        <v>0.06</v>
      </c>
      <c r="I195" s="2" t="s">
        <v>14</v>
      </c>
      <c r="J195" s="2" t="s">
        <v>14</v>
      </c>
      <c r="K195" s="2">
        <v>0</v>
      </c>
      <c r="L195" s="4">
        <v>0.03</v>
      </c>
    </row>
    <row r="196" spans="1:12" x14ac:dyDescent="0.25">
      <c r="A196" s="5">
        <v>45261</v>
      </c>
      <c r="B196" s="1" t="s">
        <v>20</v>
      </c>
      <c r="C196" s="1" t="s">
        <v>13</v>
      </c>
      <c r="D196" s="2">
        <v>5.33E-2</v>
      </c>
      <c r="E196" s="3">
        <v>1</v>
      </c>
      <c r="F196" s="2">
        <v>9.7500000000000003E-2</v>
      </c>
      <c r="G196" s="2">
        <v>0</v>
      </c>
      <c r="H196" s="2" t="s">
        <v>14</v>
      </c>
      <c r="I196" s="2" t="s">
        <v>14</v>
      </c>
      <c r="J196" s="2" t="s">
        <v>14</v>
      </c>
      <c r="K196" s="2">
        <v>0</v>
      </c>
      <c r="L196" s="4">
        <v>0.03</v>
      </c>
    </row>
    <row r="197" spans="1:12" x14ac:dyDescent="0.25">
      <c r="A197" s="5">
        <v>45261</v>
      </c>
      <c r="B197" s="1" t="s">
        <v>20</v>
      </c>
      <c r="C197" s="1" t="s">
        <v>17</v>
      </c>
      <c r="D197" s="2">
        <v>4.1799999999999997E-2</v>
      </c>
      <c r="E197" s="3">
        <v>1</v>
      </c>
      <c r="F197" s="2" t="s">
        <v>14</v>
      </c>
      <c r="G197" s="2">
        <v>0</v>
      </c>
      <c r="H197" s="2" t="s">
        <v>14</v>
      </c>
      <c r="I197" s="2">
        <v>0.08</v>
      </c>
      <c r="J197" s="2" t="s">
        <v>14</v>
      </c>
      <c r="K197" s="2">
        <v>0</v>
      </c>
      <c r="L197" s="4">
        <v>0.03</v>
      </c>
    </row>
    <row r="198" spans="1:12" x14ac:dyDescent="0.25">
      <c r="A198" s="5">
        <v>45261</v>
      </c>
      <c r="B198" s="1" t="s">
        <v>20</v>
      </c>
      <c r="C198" s="1" t="s">
        <v>21</v>
      </c>
      <c r="D198" s="2">
        <v>6.2E-2</v>
      </c>
      <c r="E198" s="3">
        <v>1</v>
      </c>
      <c r="F198" s="2">
        <v>0.12</v>
      </c>
      <c r="G198" s="2">
        <v>0</v>
      </c>
      <c r="H198" s="2" t="s">
        <v>14</v>
      </c>
      <c r="I198" s="2" t="s">
        <v>14</v>
      </c>
      <c r="J198" s="2">
        <v>4.1500000000000002E-2</v>
      </c>
      <c r="K198" s="2">
        <v>0.6</v>
      </c>
      <c r="L198" s="4">
        <v>0.03</v>
      </c>
    </row>
    <row r="199" spans="1:12" x14ac:dyDescent="0.25">
      <c r="A199" s="5">
        <v>45261</v>
      </c>
      <c r="B199" s="1" t="s">
        <v>20</v>
      </c>
      <c r="C199" s="1" t="s">
        <v>22</v>
      </c>
      <c r="D199" s="2">
        <v>6.2E-2</v>
      </c>
      <c r="E199" s="3">
        <v>1</v>
      </c>
      <c r="F199" s="2">
        <v>0.12</v>
      </c>
      <c r="G199" s="2">
        <v>0</v>
      </c>
      <c r="H199" s="2" t="s">
        <v>14</v>
      </c>
      <c r="I199" s="2" t="s">
        <v>14</v>
      </c>
      <c r="J199" s="2">
        <v>2.1499999999999998E-2</v>
      </c>
      <c r="K199" s="2">
        <v>0.24</v>
      </c>
      <c r="L199" s="4">
        <v>0.03</v>
      </c>
    </row>
    <row r="200" spans="1:12" x14ac:dyDescent="0.25">
      <c r="A200" s="5">
        <v>45261</v>
      </c>
      <c r="B200" s="1" t="s">
        <v>23</v>
      </c>
      <c r="C200" s="1" t="s">
        <v>24</v>
      </c>
      <c r="D200" s="2">
        <v>2.2200000000000001E-2</v>
      </c>
      <c r="E200" s="3">
        <v>2.4</v>
      </c>
      <c r="F200" s="2" t="s">
        <v>14</v>
      </c>
      <c r="G200" s="2">
        <v>0</v>
      </c>
      <c r="H200" s="2" t="s">
        <v>14</v>
      </c>
      <c r="I200" s="2" t="s">
        <v>14</v>
      </c>
      <c r="J200" s="2" t="s">
        <v>14</v>
      </c>
      <c r="K200" s="2">
        <v>0</v>
      </c>
      <c r="L200" s="4">
        <v>0.03</v>
      </c>
    </row>
    <row r="201" spans="1:12" x14ac:dyDescent="0.25">
      <c r="A201" s="5">
        <v>45261</v>
      </c>
      <c r="B201" s="1" t="s">
        <v>23</v>
      </c>
      <c r="C201" s="1" t="s">
        <v>25</v>
      </c>
      <c r="D201" s="2">
        <v>5.3866441845739944E-2</v>
      </c>
      <c r="E201" s="3">
        <v>1</v>
      </c>
      <c r="F201" s="2">
        <v>0.10249999999999999</v>
      </c>
      <c r="G201" s="2">
        <v>0</v>
      </c>
      <c r="H201" s="2" t="s">
        <v>14</v>
      </c>
      <c r="I201" s="2" t="s">
        <v>14</v>
      </c>
      <c r="J201" s="2" t="s">
        <v>14</v>
      </c>
      <c r="K201" s="2">
        <v>0</v>
      </c>
      <c r="L201" s="4">
        <v>0.03</v>
      </c>
    </row>
    <row r="202" spans="1:12" x14ac:dyDescent="0.25">
      <c r="A202" s="5">
        <v>45261</v>
      </c>
      <c r="B202" s="1" t="s">
        <v>23</v>
      </c>
      <c r="C202" s="1" t="s">
        <v>13</v>
      </c>
      <c r="D202" s="2">
        <v>5.5399999999999998E-2</v>
      </c>
      <c r="E202" s="3">
        <v>1</v>
      </c>
      <c r="F202" s="2">
        <v>0.10249999999999999</v>
      </c>
      <c r="G202" s="2">
        <v>0</v>
      </c>
      <c r="H202" s="2" t="s">
        <v>14</v>
      </c>
      <c r="I202" s="2" t="s">
        <v>14</v>
      </c>
      <c r="J202" s="2" t="s">
        <v>14</v>
      </c>
      <c r="K202" s="2">
        <v>0</v>
      </c>
      <c r="L202" s="4">
        <v>0.03</v>
      </c>
    </row>
    <row r="203" spans="1:12" x14ac:dyDescent="0.25">
      <c r="A203" s="5">
        <v>45261</v>
      </c>
      <c r="B203" s="1" t="s">
        <v>23</v>
      </c>
      <c r="C203" s="1" t="s">
        <v>17</v>
      </c>
      <c r="D203" s="2">
        <v>4.1799999999999997E-2</v>
      </c>
      <c r="E203" s="3">
        <v>1</v>
      </c>
      <c r="F203" s="2" t="s">
        <v>14</v>
      </c>
      <c r="G203" s="2">
        <v>0</v>
      </c>
      <c r="H203" s="2" t="s">
        <v>14</v>
      </c>
      <c r="I203" s="2">
        <v>0.08</v>
      </c>
      <c r="J203" s="2" t="s">
        <v>14</v>
      </c>
      <c r="K203" s="2">
        <v>0</v>
      </c>
      <c r="L203" s="4">
        <v>0.03</v>
      </c>
    </row>
    <row r="204" spans="1:12" x14ac:dyDescent="0.25">
      <c r="A204" s="5">
        <v>45261</v>
      </c>
      <c r="B204" s="1" t="s">
        <v>23</v>
      </c>
      <c r="C204" s="1" t="s">
        <v>21</v>
      </c>
      <c r="D204" s="2">
        <v>6.2E-2</v>
      </c>
      <c r="E204" s="3">
        <v>1</v>
      </c>
      <c r="F204" s="2">
        <v>0.12</v>
      </c>
      <c r="G204" s="2">
        <v>0</v>
      </c>
      <c r="H204" s="2" t="s">
        <v>14</v>
      </c>
      <c r="I204" s="2" t="s">
        <v>14</v>
      </c>
      <c r="J204" s="2">
        <v>4.1500000000000002E-2</v>
      </c>
      <c r="K204" s="2">
        <v>0.6</v>
      </c>
      <c r="L204" s="4">
        <v>0.03</v>
      </c>
    </row>
    <row r="205" spans="1:12" x14ac:dyDescent="0.25">
      <c r="A205" s="5">
        <v>45261</v>
      </c>
      <c r="B205" s="1" t="s">
        <v>23</v>
      </c>
      <c r="C205" s="1" t="s">
        <v>22</v>
      </c>
      <c r="D205" s="2">
        <v>6.2E-2</v>
      </c>
      <c r="E205" s="3">
        <v>1</v>
      </c>
      <c r="F205" s="2">
        <v>0.12</v>
      </c>
      <c r="G205" s="2">
        <v>0</v>
      </c>
      <c r="H205" s="2" t="s">
        <v>14</v>
      </c>
      <c r="I205" s="2" t="s">
        <v>14</v>
      </c>
      <c r="J205" s="2">
        <v>2.1499999999999998E-2</v>
      </c>
      <c r="K205" s="2">
        <v>0.24</v>
      </c>
      <c r="L205" s="4">
        <v>0.03</v>
      </c>
    </row>
    <row r="206" spans="1:12" x14ac:dyDescent="0.25">
      <c r="A206" s="5">
        <v>45261</v>
      </c>
      <c r="B206" s="1" t="s">
        <v>26</v>
      </c>
      <c r="C206" s="1" t="s">
        <v>24</v>
      </c>
      <c r="D206" s="2">
        <v>2.2200000000000001E-2</v>
      </c>
      <c r="E206" s="3">
        <v>2.4</v>
      </c>
      <c r="F206" s="2" t="s">
        <v>14</v>
      </c>
      <c r="G206" s="2">
        <v>0</v>
      </c>
      <c r="H206" s="2" t="s">
        <v>14</v>
      </c>
      <c r="I206" s="2" t="s">
        <v>14</v>
      </c>
      <c r="J206" s="2" t="s">
        <v>14</v>
      </c>
      <c r="K206" s="2">
        <v>0</v>
      </c>
      <c r="L206" s="4">
        <v>0.03</v>
      </c>
    </row>
    <row r="207" spans="1:12" x14ac:dyDescent="0.25">
      <c r="A207" s="5">
        <v>45261</v>
      </c>
      <c r="B207" s="1" t="s">
        <v>26</v>
      </c>
      <c r="C207" s="1" t="s">
        <v>25</v>
      </c>
      <c r="D207" s="2">
        <v>5.28E-2</v>
      </c>
      <c r="E207" s="3">
        <v>1</v>
      </c>
      <c r="F207" s="2">
        <v>0.1</v>
      </c>
      <c r="G207" s="2">
        <v>0</v>
      </c>
      <c r="H207" s="2" t="s">
        <v>14</v>
      </c>
      <c r="I207" s="2" t="s">
        <v>14</v>
      </c>
      <c r="J207" s="2" t="s">
        <v>14</v>
      </c>
      <c r="K207" s="2">
        <v>0</v>
      </c>
      <c r="L207" s="4">
        <v>0.03</v>
      </c>
    </row>
    <row r="208" spans="1:12" x14ac:dyDescent="0.25">
      <c r="A208" s="5">
        <v>45261</v>
      </c>
      <c r="B208" s="1" t="s">
        <v>26</v>
      </c>
      <c r="C208" s="1" t="s">
        <v>13</v>
      </c>
      <c r="D208" s="2">
        <v>5.4399999999999997E-2</v>
      </c>
      <c r="E208" s="3">
        <v>1</v>
      </c>
      <c r="F208" s="2">
        <v>0.1</v>
      </c>
      <c r="G208" s="2">
        <v>0</v>
      </c>
      <c r="H208" s="2" t="s">
        <v>14</v>
      </c>
      <c r="I208" s="2" t="s">
        <v>14</v>
      </c>
      <c r="J208" s="2" t="s">
        <v>14</v>
      </c>
      <c r="K208" s="2">
        <v>0</v>
      </c>
      <c r="L208" s="4">
        <v>0.03</v>
      </c>
    </row>
    <row r="209" spans="1:12" x14ac:dyDescent="0.25">
      <c r="A209" s="5">
        <v>45261</v>
      </c>
      <c r="B209" s="1" t="s">
        <v>26</v>
      </c>
      <c r="C209" s="1" t="s">
        <v>17</v>
      </c>
      <c r="D209" s="2">
        <v>4.1799999999999997E-2</v>
      </c>
      <c r="E209" s="3">
        <v>1</v>
      </c>
      <c r="F209" s="2" t="s">
        <v>14</v>
      </c>
      <c r="G209" s="2">
        <v>0</v>
      </c>
      <c r="H209" s="2" t="s">
        <v>14</v>
      </c>
      <c r="I209" s="2">
        <v>0.08</v>
      </c>
      <c r="J209" s="2" t="s">
        <v>14</v>
      </c>
      <c r="K209" s="2">
        <v>0</v>
      </c>
      <c r="L209" s="4">
        <v>0.03</v>
      </c>
    </row>
    <row r="210" spans="1:12" x14ac:dyDescent="0.25">
      <c r="A210" s="5">
        <v>45261</v>
      </c>
      <c r="B210" s="1" t="s">
        <v>26</v>
      </c>
      <c r="C210" s="1" t="s">
        <v>21</v>
      </c>
      <c r="D210" s="2">
        <v>6.2E-2</v>
      </c>
      <c r="E210" s="3">
        <v>1</v>
      </c>
      <c r="F210" s="2">
        <v>0.12</v>
      </c>
      <c r="G210" s="2">
        <v>0</v>
      </c>
      <c r="H210" s="2" t="s">
        <v>14</v>
      </c>
      <c r="I210" s="2" t="s">
        <v>14</v>
      </c>
      <c r="J210" s="2">
        <v>4.1500000000000002E-2</v>
      </c>
      <c r="K210" s="2">
        <v>0.6</v>
      </c>
      <c r="L210" s="4">
        <v>0.03</v>
      </c>
    </row>
    <row r="211" spans="1:12" x14ac:dyDescent="0.25">
      <c r="A211" s="5">
        <v>45261</v>
      </c>
      <c r="B211" s="1" t="s">
        <v>26</v>
      </c>
      <c r="C211" s="1" t="s">
        <v>22</v>
      </c>
      <c r="D211" s="2">
        <v>6.2E-2</v>
      </c>
      <c r="E211" s="3">
        <v>1</v>
      </c>
      <c r="F211" s="2">
        <v>0.12</v>
      </c>
      <c r="G211" s="2">
        <v>0</v>
      </c>
      <c r="H211" s="2" t="s">
        <v>14</v>
      </c>
      <c r="I211" s="2" t="s">
        <v>14</v>
      </c>
      <c r="J211" s="2">
        <v>2.1499999999999998E-2</v>
      </c>
      <c r="K211" s="2">
        <v>0.24</v>
      </c>
      <c r="L211" s="4">
        <v>0.03</v>
      </c>
    </row>
    <row r="212" spans="1:12" x14ac:dyDescent="0.25">
      <c r="A212" s="5">
        <v>45261</v>
      </c>
      <c r="B212" s="1" t="s">
        <v>27</v>
      </c>
      <c r="C212" s="1" t="s">
        <v>13</v>
      </c>
      <c r="D212" s="2">
        <v>5.116885057322184E-2</v>
      </c>
      <c r="E212" s="3">
        <v>1</v>
      </c>
      <c r="F212" s="2">
        <v>9.2499999999999999E-2</v>
      </c>
      <c r="G212" s="2">
        <v>0</v>
      </c>
      <c r="H212" s="2" t="s">
        <v>14</v>
      </c>
      <c r="I212" s="2" t="s">
        <v>14</v>
      </c>
      <c r="J212" s="2" t="s">
        <v>14</v>
      </c>
      <c r="K212" s="2">
        <v>0</v>
      </c>
      <c r="L212" s="4">
        <v>0.03</v>
      </c>
    </row>
    <row r="213" spans="1:12" x14ac:dyDescent="0.25">
      <c r="A213" s="5">
        <v>45261</v>
      </c>
      <c r="B213" s="1" t="s">
        <v>27</v>
      </c>
      <c r="C213" s="1" t="s">
        <v>17</v>
      </c>
      <c r="D213" s="2">
        <v>3.7228233940160893E-2</v>
      </c>
      <c r="E213" s="3">
        <v>1</v>
      </c>
      <c r="F213" s="2" t="s">
        <v>14</v>
      </c>
      <c r="G213" s="2">
        <v>0</v>
      </c>
      <c r="H213" s="2" t="s">
        <v>14</v>
      </c>
      <c r="I213" s="2">
        <v>0.09</v>
      </c>
      <c r="J213" s="2" t="s">
        <v>14</v>
      </c>
      <c r="K213" s="2">
        <v>0</v>
      </c>
      <c r="L213" s="4">
        <v>0.03</v>
      </c>
    </row>
    <row r="214" spans="1:12" x14ac:dyDescent="0.25">
      <c r="A214" s="5">
        <v>45261</v>
      </c>
      <c r="B214" s="1" t="s">
        <v>27</v>
      </c>
      <c r="C214" s="1" t="s">
        <v>24</v>
      </c>
      <c r="D214" s="2">
        <v>2.2200000000000001E-2</v>
      </c>
      <c r="E214" s="3">
        <v>2.2000000000000002</v>
      </c>
      <c r="F214" s="2" t="s">
        <v>14</v>
      </c>
      <c r="G214" s="2">
        <v>0</v>
      </c>
      <c r="H214" s="2" t="s">
        <v>14</v>
      </c>
      <c r="I214" s="2" t="s">
        <v>14</v>
      </c>
      <c r="J214" s="2" t="s">
        <v>14</v>
      </c>
      <c r="K214" s="2">
        <v>0</v>
      </c>
      <c r="L214" s="4">
        <v>0.03</v>
      </c>
    </row>
    <row r="215" spans="1:12" x14ac:dyDescent="0.25">
      <c r="A215" s="5">
        <v>45261</v>
      </c>
      <c r="B215" s="1" t="s">
        <v>27</v>
      </c>
      <c r="C215" s="1" t="s">
        <v>25</v>
      </c>
      <c r="D215" s="2">
        <v>4.9505233082205134E-2</v>
      </c>
      <c r="E215" s="3">
        <v>1</v>
      </c>
      <c r="F215" s="2">
        <v>9.2499999999999999E-2</v>
      </c>
      <c r="G215" s="2">
        <v>0</v>
      </c>
      <c r="H215" s="2" t="s">
        <v>14</v>
      </c>
      <c r="I215" s="2" t="s">
        <v>14</v>
      </c>
      <c r="J215" s="2" t="s">
        <v>14</v>
      </c>
      <c r="K215" s="2">
        <v>0</v>
      </c>
      <c r="L215" s="4">
        <v>0.03</v>
      </c>
    </row>
    <row r="216" spans="1:12" x14ac:dyDescent="0.25">
      <c r="A216" s="5">
        <v>45261</v>
      </c>
      <c r="B216" s="1" t="s">
        <v>28</v>
      </c>
      <c r="C216" s="1" t="s">
        <v>13</v>
      </c>
      <c r="D216" s="2">
        <v>4.7800000000000002E-2</v>
      </c>
      <c r="E216" s="3">
        <v>1</v>
      </c>
      <c r="F216" s="2">
        <v>8.5000000000000006E-2</v>
      </c>
      <c r="G216" s="2">
        <v>0</v>
      </c>
      <c r="H216" s="2" t="s">
        <v>14</v>
      </c>
      <c r="I216" s="2" t="s">
        <v>14</v>
      </c>
      <c r="J216" s="2" t="s">
        <v>14</v>
      </c>
      <c r="K216" s="2">
        <v>0</v>
      </c>
      <c r="L216" s="4">
        <v>0.03</v>
      </c>
    </row>
    <row r="217" spans="1:12" x14ac:dyDescent="0.25">
      <c r="A217" s="5">
        <v>45261</v>
      </c>
      <c r="B217" s="1" t="s">
        <v>28</v>
      </c>
      <c r="C217" s="1" t="s">
        <v>16</v>
      </c>
      <c r="D217" s="2">
        <v>3.1E-2</v>
      </c>
      <c r="E217" s="3">
        <v>1</v>
      </c>
      <c r="F217" s="2">
        <v>7.0000000000000007E-2</v>
      </c>
      <c r="G217" s="2">
        <v>1.4999999999999999E-2</v>
      </c>
      <c r="H217" s="2" t="s">
        <v>14</v>
      </c>
      <c r="I217" s="2" t="s">
        <v>14</v>
      </c>
      <c r="J217" s="2" t="s">
        <v>14</v>
      </c>
      <c r="K217" s="2">
        <v>0</v>
      </c>
      <c r="L217" s="4">
        <v>0.03</v>
      </c>
    </row>
    <row r="218" spans="1:12" x14ac:dyDescent="0.25">
      <c r="A218" s="5">
        <v>45261</v>
      </c>
      <c r="B218" s="1" t="s">
        <v>28</v>
      </c>
      <c r="C218" s="1" t="s">
        <v>17</v>
      </c>
      <c r="D218" s="2">
        <v>4.2999999999999997E-2</v>
      </c>
      <c r="E218" s="3">
        <v>1</v>
      </c>
      <c r="F218" s="2" t="s">
        <v>14</v>
      </c>
      <c r="G218" s="2">
        <v>0</v>
      </c>
      <c r="H218" s="2" t="s">
        <v>14</v>
      </c>
      <c r="I218" s="2">
        <v>7.7499999999999999E-2</v>
      </c>
      <c r="J218" s="2" t="s">
        <v>14</v>
      </c>
      <c r="K218" s="2">
        <v>0</v>
      </c>
      <c r="L218" s="4">
        <v>0.03</v>
      </c>
    </row>
    <row r="219" spans="1:12" x14ac:dyDescent="0.25">
      <c r="A219" s="5">
        <v>45261</v>
      </c>
      <c r="B219" s="1" t="s">
        <v>28</v>
      </c>
      <c r="C219" s="1" t="s">
        <v>18</v>
      </c>
      <c r="D219" s="2">
        <v>4.65E-2</v>
      </c>
      <c r="E219" s="3">
        <v>1</v>
      </c>
      <c r="F219" s="2" t="s">
        <v>14</v>
      </c>
      <c r="G219" s="2">
        <v>0</v>
      </c>
      <c r="H219" s="2">
        <v>6.5000000000000002E-2</v>
      </c>
      <c r="I219" s="2" t="s">
        <v>14</v>
      </c>
      <c r="J219" s="2" t="s">
        <v>14</v>
      </c>
      <c r="K219" s="2">
        <v>0</v>
      </c>
      <c r="L219" s="4">
        <v>0.03</v>
      </c>
    </row>
    <row r="220" spans="1:12" x14ac:dyDescent="0.25">
      <c r="A220" s="5">
        <v>45261</v>
      </c>
      <c r="B220" s="1" t="s">
        <v>29</v>
      </c>
      <c r="C220" s="1" t="s">
        <v>13</v>
      </c>
      <c r="D220" s="2">
        <v>4.4299999999999999E-2</v>
      </c>
      <c r="E220" s="3">
        <v>1</v>
      </c>
      <c r="F220" s="2">
        <v>7.7499999999999999E-2</v>
      </c>
      <c r="G220" s="2">
        <v>0</v>
      </c>
      <c r="H220" s="2" t="s">
        <v>14</v>
      </c>
      <c r="I220" s="2" t="s">
        <v>14</v>
      </c>
      <c r="J220" s="2" t="s">
        <v>14</v>
      </c>
      <c r="K220" s="2">
        <v>0</v>
      </c>
      <c r="L220" s="4">
        <v>0.03</v>
      </c>
    </row>
    <row r="221" spans="1:12" x14ac:dyDescent="0.25">
      <c r="A221" s="5">
        <v>45261</v>
      </c>
      <c r="B221" s="1" t="s">
        <v>29</v>
      </c>
      <c r="C221" s="1" t="s">
        <v>16</v>
      </c>
      <c r="D221" s="2">
        <v>2.46E-2</v>
      </c>
      <c r="E221" s="3">
        <v>1</v>
      </c>
      <c r="F221" s="2">
        <v>5.7500000000000002E-2</v>
      </c>
      <c r="G221" s="2">
        <v>1.4999999999999999E-2</v>
      </c>
      <c r="H221" s="2" t="s">
        <v>14</v>
      </c>
      <c r="I221" s="2" t="s">
        <v>14</v>
      </c>
      <c r="J221" s="2" t="s">
        <v>14</v>
      </c>
      <c r="K221" s="2">
        <v>0</v>
      </c>
      <c r="L221" s="4">
        <v>0.03</v>
      </c>
    </row>
    <row r="222" spans="1:12" x14ac:dyDescent="0.25">
      <c r="A222" s="5">
        <v>45261</v>
      </c>
      <c r="B222" s="1" t="s">
        <v>29</v>
      </c>
      <c r="C222" s="1" t="s">
        <v>17</v>
      </c>
      <c r="D222" s="2">
        <v>3.8600000000000002E-2</v>
      </c>
      <c r="E222" s="3">
        <v>1</v>
      </c>
      <c r="F222" s="2" t="s">
        <v>14</v>
      </c>
      <c r="G222" s="2">
        <v>0</v>
      </c>
      <c r="H222" s="2" t="s">
        <v>14</v>
      </c>
      <c r="I222" s="2">
        <v>8.6999999999999994E-2</v>
      </c>
      <c r="J222" s="2" t="s">
        <v>14</v>
      </c>
      <c r="K222" s="2">
        <v>0</v>
      </c>
      <c r="L222" s="4">
        <v>0.03</v>
      </c>
    </row>
    <row r="223" spans="1:12" x14ac:dyDescent="0.25">
      <c r="A223" s="5">
        <v>45261</v>
      </c>
      <c r="B223" s="1" t="s">
        <v>29</v>
      </c>
      <c r="C223" s="1" t="s">
        <v>18</v>
      </c>
      <c r="D223" s="2">
        <v>4.0800000000000003E-2</v>
      </c>
      <c r="E223" s="3">
        <v>1</v>
      </c>
      <c r="F223" s="2" t="s">
        <v>14</v>
      </c>
      <c r="G223" s="2">
        <v>0</v>
      </c>
      <c r="H223" s="2">
        <v>5.7000000000000002E-2</v>
      </c>
      <c r="I223" s="2" t="s">
        <v>14</v>
      </c>
      <c r="J223" s="2" t="s">
        <v>14</v>
      </c>
      <c r="K223" s="2">
        <v>0</v>
      </c>
      <c r="L223" s="4">
        <v>0.03</v>
      </c>
    </row>
    <row r="224" spans="1:12" x14ac:dyDescent="0.25">
      <c r="A224" s="5">
        <v>45292</v>
      </c>
      <c r="B224" s="1" t="s">
        <v>12</v>
      </c>
      <c r="C224" s="1" t="s">
        <v>13</v>
      </c>
      <c r="D224" s="2">
        <v>5.2900000000000003E-2</v>
      </c>
      <c r="E224" s="3">
        <v>1</v>
      </c>
      <c r="F224" s="2">
        <v>9.7500000000000003E-2</v>
      </c>
      <c r="G224" s="2">
        <v>0</v>
      </c>
      <c r="H224" s="2" t="s">
        <v>14</v>
      </c>
      <c r="I224" s="2" t="s">
        <v>14</v>
      </c>
      <c r="J224" s="2" t="s">
        <v>14</v>
      </c>
      <c r="K224" s="2">
        <v>0</v>
      </c>
      <c r="L224" s="4">
        <v>0.03</v>
      </c>
    </row>
    <row r="225" spans="1:12" x14ac:dyDescent="0.25">
      <c r="A225" s="5">
        <v>45292</v>
      </c>
      <c r="B225" s="1" t="s">
        <v>15</v>
      </c>
      <c r="C225" s="1" t="s">
        <v>13</v>
      </c>
      <c r="D225" s="2">
        <v>5.2900000000000003E-2</v>
      </c>
      <c r="E225" s="3">
        <v>1</v>
      </c>
      <c r="F225" s="2">
        <v>9.7500000000000003E-2</v>
      </c>
      <c r="G225" s="2">
        <v>0</v>
      </c>
      <c r="H225" s="2" t="s">
        <v>14</v>
      </c>
      <c r="I225" s="2" t="s">
        <v>14</v>
      </c>
      <c r="J225" s="2" t="s">
        <v>14</v>
      </c>
      <c r="K225" s="2">
        <v>0</v>
      </c>
      <c r="L225" s="4">
        <v>0.03</v>
      </c>
    </row>
    <row r="226" spans="1:12" x14ac:dyDescent="0.25">
      <c r="A226" s="5">
        <v>45292</v>
      </c>
      <c r="B226" s="1" t="s">
        <v>15</v>
      </c>
      <c r="C226" s="1" t="s">
        <v>16</v>
      </c>
      <c r="D226" s="2">
        <v>3.7900000000000003E-2</v>
      </c>
      <c r="E226" s="3">
        <v>1</v>
      </c>
      <c r="F226" s="2">
        <v>8.5000000000000006E-2</v>
      </c>
      <c r="G226" s="2">
        <v>1.4999999999999999E-2</v>
      </c>
      <c r="H226" s="2" t="s">
        <v>14</v>
      </c>
      <c r="I226" s="2" t="s">
        <v>14</v>
      </c>
      <c r="J226" s="2" t="s">
        <v>14</v>
      </c>
      <c r="K226" s="2">
        <v>0</v>
      </c>
      <c r="L226" s="4">
        <v>0.03</v>
      </c>
    </row>
    <row r="227" spans="1:12" x14ac:dyDescent="0.25">
      <c r="A227" s="5">
        <v>45292</v>
      </c>
      <c r="B227" s="1" t="s">
        <v>15</v>
      </c>
      <c r="C227" s="1" t="s">
        <v>17</v>
      </c>
      <c r="D227" s="2">
        <v>3.8100000000000002E-2</v>
      </c>
      <c r="E227" s="3">
        <v>1</v>
      </c>
      <c r="F227" s="2" t="s">
        <v>14</v>
      </c>
      <c r="G227" s="2">
        <v>0</v>
      </c>
      <c r="H227" s="2" t="s">
        <v>14</v>
      </c>
      <c r="I227" s="2">
        <v>0.08</v>
      </c>
      <c r="J227" s="2" t="s">
        <v>14</v>
      </c>
      <c r="K227" s="2">
        <v>0</v>
      </c>
      <c r="L227" s="4">
        <v>0.03</v>
      </c>
    </row>
    <row r="228" spans="1:12" x14ac:dyDescent="0.25">
      <c r="A228" s="5">
        <v>45292</v>
      </c>
      <c r="B228" s="1" t="s">
        <v>15</v>
      </c>
      <c r="C228" s="1" t="s">
        <v>18</v>
      </c>
      <c r="D228" s="2">
        <v>5.3999999999999999E-2</v>
      </c>
      <c r="E228" s="3">
        <v>1</v>
      </c>
      <c r="F228" s="2" t="s">
        <v>14</v>
      </c>
      <c r="G228" s="2">
        <v>0</v>
      </c>
      <c r="H228" s="2">
        <v>7.4999999999999997E-2</v>
      </c>
      <c r="I228" s="2" t="s">
        <v>14</v>
      </c>
      <c r="J228" s="2" t="s">
        <v>14</v>
      </c>
      <c r="K228" s="2">
        <v>0</v>
      </c>
      <c r="L228" s="4">
        <v>0.03</v>
      </c>
    </row>
    <row r="229" spans="1:12" x14ac:dyDescent="0.25">
      <c r="A229" s="5">
        <v>45292</v>
      </c>
      <c r="B229" s="1" t="s">
        <v>19</v>
      </c>
      <c r="C229" s="1" t="s">
        <v>13</v>
      </c>
      <c r="D229" s="2">
        <v>4.1799999999999997E-2</v>
      </c>
      <c r="E229" s="3">
        <v>1</v>
      </c>
      <c r="F229" s="2">
        <v>7.2499999999999995E-2</v>
      </c>
      <c r="G229" s="2">
        <v>0</v>
      </c>
      <c r="H229" s="2" t="s">
        <v>14</v>
      </c>
      <c r="I229" s="2" t="s">
        <v>14</v>
      </c>
      <c r="J229" s="2" t="s">
        <v>14</v>
      </c>
      <c r="K229" s="2">
        <v>0</v>
      </c>
      <c r="L229" s="4">
        <v>0.03</v>
      </c>
    </row>
    <row r="230" spans="1:12" x14ac:dyDescent="0.25">
      <c r="A230" s="5">
        <v>45292</v>
      </c>
      <c r="B230" s="1" t="s">
        <v>19</v>
      </c>
      <c r="C230" s="1" t="s">
        <v>16</v>
      </c>
      <c r="D230" s="2">
        <v>2.5899999999999999E-2</v>
      </c>
      <c r="E230" s="3">
        <v>1</v>
      </c>
      <c r="F230" s="2">
        <v>0.06</v>
      </c>
      <c r="G230" s="2">
        <v>1.4999999999999999E-2</v>
      </c>
      <c r="H230" s="2" t="s">
        <v>14</v>
      </c>
      <c r="I230" s="2" t="s">
        <v>14</v>
      </c>
      <c r="J230" s="2" t="s">
        <v>14</v>
      </c>
      <c r="K230" s="2">
        <v>0</v>
      </c>
      <c r="L230" s="4">
        <v>0.03</v>
      </c>
    </row>
    <row r="231" spans="1:12" x14ac:dyDescent="0.25">
      <c r="A231" s="5">
        <v>45292</v>
      </c>
      <c r="B231" s="1" t="s">
        <v>19</v>
      </c>
      <c r="C231" s="1" t="s">
        <v>17</v>
      </c>
      <c r="D231" s="2">
        <v>3.3599999999999998E-2</v>
      </c>
      <c r="E231" s="3">
        <v>1</v>
      </c>
      <c r="F231" s="2" t="s">
        <v>14</v>
      </c>
      <c r="G231" s="2">
        <v>0</v>
      </c>
      <c r="H231" s="2" t="s">
        <v>14</v>
      </c>
      <c r="I231" s="2">
        <v>0.09</v>
      </c>
      <c r="J231" s="2" t="s">
        <v>14</v>
      </c>
      <c r="K231" s="2">
        <v>0</v>
      </c>
      <c r="L231" s="4">
        <v>0.03</v>
      </c>
    </row>
    <row r="232" spans="1:12" x14ac:dyDescent="0.25">
      <c r="A232" s="5">
        <v>45292</v>
      </c>
      <c r="B232" s="1" t="s">
        <v>19</v>
      </c>
      <c r="C232" s="1" t="s">
        <v>18</v>
      </c>
      <c r="D232" s="2">
        <v>4.3200000000000002E-2</v>
      </c>
      <c r="E232" s="3">
        <v>1</v>
      </c>
      <c r="F232" s="2" t="s">
        <v>14</v>
      </c>
      <c r="G232" s="2">
        <v>0</v>
      </c>
      <c r="H232" s="2">
        <v>0.06</v>
      </c>
      <c r="I232" s="2" t="s">
        <v>14</v>
      </c>
      <c r="J232" s="2" t="s">
        <v>14</v>
      </c>
      <c r="K232" s="2">
        <v>0</v>
      </c>
      <c r="L232" s="4">
        <v>0.03</v>
      </c>
    </row>
    <row r="233" spans="1:12" x14ac:dyDescent="0.25">
      <c r="A233" s="5">
        <v>45292</v>
      </c>
      <c r="B233" s="1" t="s">
        <v>20</v>
      </c>
      <c r="C233" s="1" t="s">
        <v>13</v>
      </c>
      <c r="D233" s="2">
        <v>5.2900000000000003E-2</v>
      </c>
      <c r="E233" s="3">
        <v>1</v>
      </c>
      <c r="F233" s="2">
        <v>9.7500000000000003E-2</v>
      </c>
      <c r="G233" s="2">
        <v>0</v>
      </c>
      <c r="H233" s="2" t="s">
        <v>14</v>
      </c>
      <c r="I233" s="2" t="s">
        <v>14</v>
      </c>
      <c r="J233" s="2" t="s">
        <v>14</v>
      </c>
      <c r="K233" s="2">
        <v>0</v>
      </c>
      <c r="L233" s="4">
        <v>0.03</v>
      </c>
    </row>
    <row r="234" spans="1:12" x14ac:dyDescent="0.25">
      <c r="A234" s="5">
        <v>45292</v>
      </c>
      <c r="B234" s="1" t="s">
        <v>20</v>
      </c>
      <c r="C234" s="1" t="s">
        <v>17</v>
      </c>
      <c r="D234" s="2">
        <v>3.8100000000000002E-2</v>
      </c>
      <c r="E234" s="3">
        <v>1</v>
      </c>
      <c r="F234" s="2" t="s">
        <v>14</v>
      </c>
      <c r="G234" s="2">
        <v>0</v>
      </c>
      <c r="H234" s="2" t="s">
        <v>14</v>
      </c>
      <c r="I234" s="2">
        <v>0.08</v>
      </c>
      <c r="J234" s="2" t="s">
        <v>14</v>
      </c>
      <c r="K234" s="2">
        <v>0</v>
      </c>
      <c r="L234" s="4">
        <v>0.03</v>
      </c>
    </row>
    <row r="235" spans="1:12" x14ac:dyDescent="0.25">
      <c r="A235" s="5">
        <v>45292</v>
      </c>
      <c r="B235" s="1" t="s">
        <v>20</v>
      </c>
      <c r="C235" s="1" t="s">
        <v>21</v>
      </c>
      <c r="D235" s="2">
        <v>6.1100000000000002E-2</v>
      </c>
      <c r="E235" s="3">
        <v>1</v>
      </c>
      <c r="F235" s="2">
        <v>0.12</v>
      </c>
      <c r="G235" s="2">
        <v>0</v>
      </c>
      <c r="H235" s="2" t="s">
        <v>14</v>
      </c>
      <c r="I235" s="2" t="s">
        <v>14</v>
      </c>
      <c r="J235" s="2">
        <v>4.1500000000000002E-2</v>
      </c>
      <c r="K235" s="2">
        <v>0.6</v>
      </c>
      <c r="L235" s="4">
        <v>0.03</v>
      </c>
    </row>
    <row r="236" spans="1:12" x14ac:dyDescent="0.25">
      <c r="A236" s="5">
        <v>45292</v>
      </c>
      <c r="B236" s="1" t="s">
        <v>20</v>
      </c>
      <c r="C236" s="1" t="s">
        <v>22</v>
      </c>
      <c r="D236" s="2">
        <v>6.1100000000000002E-2</v>
      </c>
      <c r="E236" s="3">
        <v>1</v>
      </c>
      <c r="F236" s="2">
        <v>0.12</v>
      </c>
      <c r="G236" s="2">
        <v>0</v>
      </c>
      <c r="H236" s="2" t="s">
        <v>14</v>
      </c>
      <c r="I236" s="2" t="s">
        <v>14</v>
      </c>
      <c r="J236" s="2">
        <v>2.1499999999999998E-2</v>
      </c>
      <c r="K236" s="2">
        <v>0.24</v>
      </c>
      <c r="L236" s="4">
        <v>0.03</v>
      </c>
    </row>
    <row r="237" spans="1:12" x14ac:dyDescent="0.25">
      <c r="A237" s="5">
        <v>45292</v>
      </c>
      <c r="B237" s="1" t="s">
        <v>23</v>
      </c>
      <c r="C237" s="1" t="s">
        <v>24</v>
      </c>
      <c r="D237" s="2">
        <v>2.2200000000000001E-2</v>
      </c>
      <c r="E237" s="3">
        <v>2.4</v>
      </c>
      <c r="F237" s="2" t="s">
        <v>14</v>
      </c>
      <c r="G237" s="2">
        <v>0</v>
      </c>
      <c r="H237" s="2" t="s">
        <v>14</v>
      </c>
      <c r="I237" s="2" t="s">
        <v>14</v>
      </c>
      <c r="J237" s="2" t="s">
        <v>14</v>
      </c>
      <c r="K237" s="2">
        <v>0</v>
      </c>
      <c r="L237" s="4">
        <v>0.03</v>
      </c>
    </row>
    <row r="238" spans="1:12" x14ac:dyDescent="0.25">
      <c r="A238" s="5">
        <v>45292</v>
      </c>
      <c r="B238" s="1" t="s">
        <v>23</v>
      </c>
      <c r="C238" s="1" t="s">
        <v>25</v>
      </c>
      <c r="D238" s="2">
        <v>5.3479456075381432E-2</v>
      </c>
      <c r="E238" s="3">
        <v>1</v>
      </c>
      <c r="F238" s="2">
        <v>0.10249999999999999</v>
      </c>
      <c r="G238" s="2">
        <v>0</v>
      </c>
      <c r="H238" s="2" t="s">
        <v>14</v>
      </c>
      <c r="I238" s="2" t="s">
        <v>14</v>
      </c>
      <c r="J238" s="2" t="s">
        <v>14</v>
      </c>
      <c r="K238" s="2">
        <v>0</v>
      </c>
      <c r="L238" s="4">
        <v>0.03</v>
      </c>
    </row>
    <row r="239" spans="1:12" x14ac:dyDescent="0.25">
      <c r="A239" s="5">
        <v>45292</v>
      </c>
      <c r="B239" s="1" t="s">
        <v>23</v>
      </c>
      <c r="C239" s="1" t="s">
        <v>13</v>
      </c>
      <c r="D239" s="2">
        <v>5.4899999999999997E-2</v>
      </c>
      <c r="E239" s="3">
        <v>1</v>
      </c>
      <c r="F239" s="2">
        <v>0.10249999999999999</v>
      </c>
      <c r="G239" s="2">
        <v>0</v>
      </c>
      <c r="H239" s="2" t="s">
        <v>14</v>
      </c>
      <c r="I239" s="2" t="s">
        <v>14</v>
      </c>
      <c r="J239" s="2" t="s">
        <v>14</v>
      </c>
      <c r="K239" s="2">
        <v>0</v>
      </c>
      <c r="L239" s="4">
        <v>0.03</v>
      </c>
    </row>
    <row r="240" spans="1:12" x14ac:dyDescent="0.25">
      <c r="A240" s="5">
        <v>45292</v>
      </c>
      <c r="B240" s="1" t="s">
        <v>23</v>
      </c>
      <c r="C240" s="1" t="s">
        <v>17</v>
      </c>
      <c r="D240" s="2">
        <v>3.8100000000000002E-2</v>
      </c>
      <c r="E240" s="3">
        <v>1</v>
      </c>
      <c r="F240" s="2" t="s">
        <v>14</v>
      </c>
      <c r="G240" s="2">
        <v>0</v>
      </c>
      <c r="H240" s="2" t="s">
        <v>14</v>
      </c>
      <c r="I240" s="2">
        <v>0.08</v>
      </c>
      <c r="J240" s="2" t="s">
        <v>14</v>
      </c>
      <c r="K240" s="2">
        <v>0</v>
      </c>
      <c r="L240" s="4">
        <v>0.03</v>
      </c>
    </row>
    <row r="241" spans="1:12" x14ac:dyDescent="0.25">
      <c r="A241" s="5">
        <v>45292</v>
      </c>
      <c r="B241" s="1" t="s">
        <v>23</v>
      </c>
      <c r="C241" s="1" t="s">
        <v>21</v>
      </c>
      <c r="D241" s="2">
        <v>6.1100000000000002E-2</v>
      </c>
      <c r="E241" s="3">
        <v>1</v>
      </c>
      <c r="F241" s="2">
        <v>0.12</v>
      </c>
      <c r="G241" s="2">
        <v>0</v>
      </c>
      <c r="H241" s="2" t="s">
        <v>14</v>
      </c>
      <c r="I241" s="2" t="s">
        <v>14</v>
      </c>
      <c r="J241" s="2">
        <v>4.1500000000000002E-2</v>
      </c>
      <c r="K241" s="2">
        <v>0.6</v>
      </c>
      <c r="L241" s="4">
        <v>0.03</v>
      </c>
    </row>
    <row r="242" spans="1:12" x14ac:dyDescent="0.25">
      <c r="A242" s="5">
        <v>45292</v>
      </c>
      <c r="B242" s="1" t="s">
        <v>23</v>
      </c>
      <c r="C242" s="1" t="s">
        <v>22</v>
      </c>
      <c r="D242" s="2">
        <v>6.1100000000000002E-2</v>
      </c>
      <c r="E242" s="3">
        <v>1</v>
      </c>
      <c r="F242" s="2">
        <v>0.12</v>
      </c>
      <c r="G242" s="2">
        <v>0</v>
      </c>
      <c r="H242" s="2" t="s">
        <v>14</v>
      </c>
      <c r="I242" s="2" t="s">
        <v>14</v>
      </c>
      <c r="J242" s="2">
        <v>2.1499999999999998E-2</v>
      </c>
      <c r="K242" s="2">
        <v>0.24</v>
      </c>
      <c r="L242" s="4">
        <v>0.03</v>
      </c>
    </row>
    <row r="243" spans="1:12" x14ac:dyDescent="0.25">
      <c r="A243" s="5">
        <v>45292</v>
      </c>
      <c r="B243" s="1" t="s">
        <v>26</v>
      </c>
      <c r="C243" s="1" t="s">
        <v>24</v>
      </c>
      <c r="D243" s="2">
        <v>2.2200000000000001E-2</v>
      </c>
      <c r="E243" s="3">
        <v>2.4</v>
      </c>
      <c r="F243" s="2" t="s">
        <v>14</v>
      </c>
      <c r="G243" s="2">
        <v>0</v>
      </c>
      <c r="H243" s="2" t="s">
        <v>14</v>
      </c>
      <c r="I243" s="2" t="s">
        <v>14</v>
      </c>
      <c r="J243" s="2" t="s">
        <v>14</v>
      </c>
      <c r="K243" s="2">
        <v>0</v>
      </c>
      <c r="L243" s="4">
        <v>0.03</v>
      </c>
    </row>
    <row r="244" spans="1:12" x14ac:dyDescent="0.25">
      <c r="A244" s="5">
        <v>45292</v>
      </c>
      <c r="B244" s="1" t="s">
        <v>26</v>
      </c>
      <c r="C244" s="1" t="s">
        <v>25</v>
      </c>
      <c r="D244" s="2">
        <v>5.2499999999999998E-2</v>
      </c>
      <c r="E244" s="3">
        <v>1</v>
      </c>
      <c r="F244" s="2">
        <v>0.1</v>
      </c>
      <c r="G244" s="2">
        <v>0</v>
      </c>
      <c r="H244" s="2" t="s">
        <v>14</v>
      </c>
      <c r="I244" s="2" t="s">
        <v>14</v>
      </c>
      <c r="J244" s="2" t="s">
        <v>14</v>
      </c>
      <c r="K244" s="2">
        <v>0</v>
      </c>
      <c r="L244" s="4">
        <v>0.03</v>
      </c>
    </row>
    <row r="245" spans="1:12" x14ac:dyDescent="0.25">
      <c r="A245" s="5">
        <v>45292</v>
      </c>
      <c r="B245" s="1" t="s">
        <v>26</v>
      </c>
      <c r="C245" s="1" t="s">
        <v>13</v>
      </c>
      <c r="D245" s="2">
        <v>5.3999999999999999E-2</v>
      </c>
      <c r="E245" s="3">
        <v>1</v>
      </c>
      <c r="F245" s="2">
        <v>0.1</v>
      </c>
      <c r="G245" s="2">
        <v>0</v>
      </c>
      <c r="H245" s="2" t="s">
        <v>14</v>
      </c>
      <c r="I245" s="2" t="s">
        <v>14</v>
      </c>
      <c r="J245" s="2" t="s">
        <v>14</v>
      </c>
      <c r="K245" s="2">
        <v>0</v>
      </c>
      <c r="L245" s="4">
        <v>0.03</v>
      </c>
    </row>
    <row r="246" spans="1:12" x14ac:dyDescent="0.25">
      <c r="A246" s="5">
        <v>45292</v>
      </c>
      <c r="B246" s="1" t="s">
        <v>26</v>
      </c>
      <c r="C246" s="1" t="s">
        <v>17</v>
      </c>
      <c r="D246" s="2">
        <v>3.8100000000000002E-2</v>
      </c>
      <c r="E246" s="3">
        <v>1</v>
      </c>
      <c r="F246" s="2" t="s">
        <v>14</v>
      </c>
      <c r="G246" s="2">
        <v>0</v>
      </c>
      <c r="H246" s="2" t="s">
        <v>14</v>
      </c>
      <c r="I246" s="2">
        <v>0.08</v>
      </c>
      <c r="J246" s="2" t="s">
        <v>14</v>
      </c>
      <c r="K246" s="2">
        <v>0</v>
      </c>
      <c r="L246" s="4">
        <v>0.03</v>
      </c>
    </row>
    <row r="247" spans="1:12" x14ac:dyDescent="0.25">
      <c r="A247" s="5">
        <v>45292</v>
      </c>
      <c r="B247" s="1" t="s">
        <v>26</v>
      </c>
      <c r="C247" s="1" t="s">
        <v>21</v>
      </c>
      <c r="D247" s="2">
        <v>6.1100000000000002E-2</v>
      </c>
      <c r="E247" s="3">
        <v>1</v>
      </c>
      <c r="F247" s="2">
        <v>0.12</v>
      </c>
      <c r="G247" s="2">
        <v>0</v>
      </c>
      <c r="H247" s="2" t="s">
        <v>14</v>
      </c>
      <c r="I247" s="2" t="s">
        <v>14</v>
      </c>
      <c r="J247" s="2">
        <v>4.1500000000000002E-2</v>
      </c>
      <c r="K247" s="2">
        <v>0.6</v>
      </c>
      <c r="L247" s="4">
        <v>0.03</v>
      </c>
    </row>
    <row r="248" spans="1:12" x14ac:dyDescent="0.25">
      <c r="A248" s="5">
        <v>45292</v>
      </c>
      <c r="B248" s="1" t="s">
        <v>26</v>
      </c>
      <c r="C248" s="1" t="s">
        <v>22</v>
      </c>
      <c r="D248" s="2">
        <v>6.1100000000000002E-2</v>
      </c>
      <c r="E248" s="3">
        <v>1</v>
      </c>
      <c r="F248" s="2">
        <v>0.12</v>
      </c>
      <c r="G248" s="2">
        <v>0</v>
      </c>
      <c r="H248" s="2" t="s">
        <v>14</v>
      </c>
      <c r="I248" s="2" t="s">
        <v>14</v>
      </c>
      <c r="J248" s="2">
        <v>2.1499999999999998E-2</v>
      </c>
      <c r="K248" s="2">
        <v>0.24</v>
      </c>
      <c r="L248" s="4">
        <v>0.03</v>
      </c>
    </row>
    <row r="249" spans="1:12" x14ac:dyDescent="0.25">
      <c r="A249" s="5">
        <v>45292</v>
      </c>
      <c r="B249" s="1" t="s">
        <v>27</v>
      </c>
      <c r="C249" s="1" t="s">
        <v>13</v>
      </c>
      <c r="D249" s="2">
        <v>5.084946825851356E-2</v>
      </c>
      <c r="E249" s="3">
        <v>1</v>
      </c>
      <c r="F249" s="2">
        <v>9.2499999999999999E-2</v>
      </c>
      <c r="G249" s="2">
        <v>0</v>
      </c>
      <c r="H249" s="2" t="s">
        <v>14</v>
      </c>
      <c r="I249" s="2" t="s">
        <v>14</v>
      </c>
      <c r="J249" s="2" t="s">
        <v>14</v>
      </c>
      <c r="K249" s="2">
        <v>0</v>
      </c>
      <c r="L249" s="4">
        <v>0.03</v>
      </c>
    </row>
    <row r="250" spans="1:12" x14ac:dyDescent="0.25">
      <c r="A250" s="5">
        <v>45292</v>
      </c>
      <c r="B250" s="1" t="s">
        <v>27</v>
      </c>
      <c r="C250" s="1" t="s">
        <v>17</v>
      </c>
      <c r="D250" s="2">
        <v>3.3607456896422742E-2</v>
      </c>
      <c r="E250" s="3">
        <v>1</v>
      </c>
      <c r="F250" s="2" t="s">
        <v>14</v>
      </c>
      <c r="G250" s="2">
        <v>0</v>
      </c>
      <c r="H250" s="2" t="s">
        <v>14</v>
      </c>
      <c r="I250" s="2">
        <v>0.09</v>
      </c>
      <c r="J250" s="2" t="s">
        <v>14</v>
      </c>
      <c r="K250" s="2">
        <v>0</v>
      </c>
      <c r="L250" s="4">
        <v>0.03</v>
      </c>
    </row>
    <row r="251" spans="1:12" x14ac:dyDescent="0.25">
      <c r="A251" s="5">
        <v>45292</v>
      </c>
      <c r="B251" s="1" t="s">
        <v>27</v>
      </c>
      <c r="C251" s="1" t="s">
        <v>24</v>
      </c>
      <c r="D251" s="2">
        <v>2.2200000000000001E-2</v>
      </c>
      <c r="E251" s="3">
        <v>2.2000000000000002</v>
      </c>
      <c r="F251" s="2" t="s">
        <v>14</v>
      </c>
      <c r="G251" s="2">
        <v>0</v>
      </c>
      <c r="H251" s="2" t="s">
        <v>14</v>
      </c>
      <c r="I251" s="2" t="s">
        <v>14</v>
      </c>
      <c r="J251" s="2" t="s">
        <v>14</v>
      </c>
      <c r="K251" s="2">
        <v>0</v>
      </c>
      <c r="L251" s="4">
        <v>0.03</v>
      </c>
    </row>
    <row r="252" spans="1:12" x14ac:dyDescent="0.25">
      <c r="A252" s="5">
        <v>45292</v>
      </c>
      <c r="B252" s="1" t="s">
        <v>27</v>
      </c>
      <c r="C252" s="1" t="s">
        <v>25</v>
      </c>
      <c r="D252" s="2">
        <v>4.9219064998855373E-2</v>
      </c>
      <c r="E252" s="3">
        <v>1</v>
      </c>
      <c r="F252" s="2">
        <v>9.2499999999999999E-2</v>
      </c>
      <c r="G252" s="2">
        <v>0</v>
      </c>
      <c r="H252" s="2" t="s">
        <v>14</v>
      </c>
      <c r="I252" s="2" t="s">
        <v>14</v>
      </c>
      <c r="J252" s="2" t="s">
        <v>14</v>
      </c>
      <c r="K252" s="2">
        <v>0</v>
      </c>
      <c r="L252" s="4">
        <v>0.03</v>
      </c>
    </row>
    <row r="253" spans="1:12" x14ac:dyDescent="0.25">
      <c r="A253" s="5">
        <v>45292</v>
      </c>
      <c r="B253" s="1" t="s">
        <v>28</v>
      </c>
      <c r="C253" s="1" t="s">
        <v>13</v>
      </c>
      <c r="D253" s="2">
        <v>4.7600000000000003E-2</v>
      </c>
      <c r="E253" s="3">
        <v>1</v>
      </c>
      <c r="F253" s="2">
        <v>8.5000000000000006E-2</v>
      </c>
      <c r="G253" s="2">
        <v>0</v>
      </c>
      <c r="H253" s="2" t="s">
        <v>14</v>
      </c>
      <c r="I253" s="2" t="s">
        <v>14</v>
      </c>
      <c r="J253" s="2" t="s">
        <v>14</v>
      </c>
      <c r="K253" s="2">
        <v>0</v>
      </c>
      <c r="L253" s="4">
        <v>0.03</v>
      </c>
    </row>
    <row r="254" spans="1:12" x14ac:dyDescent="0.25">
      <c r="A254" s="5">
        <v>45292</v>
      </c>
      <c r="B254" s="1" t="s">
        <v>28</v>
      </c>
      <c r="C254" s="1" t="s">
        <v>16</v>
      </c>
      <c r="D254" s="2">
        <v>3.09E-2</v>
      </c>
      <c r="E254" s="3">
        <v>1</v>
      </c>
      <c r="F254" s="2">
        <v>7.0000000000000007E-2</v>
      </c>
      <c r="G254" s="2">
        <v>1.4999999999999999E-2</v>
      </c>
      <c r="H254" s="2" t="s">
        <v>14</v>
      </c>
      <c r="I254" s="2" t="s">
        <v>14</v>
      </c>
      <c r="J254" s="2" t="s">
        <v>14</v>
      </c>
      <c r="K254" s="2">
        <v>0</v>
      </c>
      <c r="L254" s="4">
        <v>0.03</v>
      </c>
    </row>
    <row r="255" spans="1:12" x14ac:dyDescent="0.25">
      <c r="A255" s="5">
        <v>45292</v>
      </c>
      <c r="B255" s="1" t="s">
        <v>28</v>
      </c>
      <c r="C255" s="1" t="s">
        <v>17</v>
      </c>
      <c r="D255" s="2">
        <v>3.9199999999999999E-2</v>
      </c>
      <c r="E255" s="3">
        <v>1</v>
      </c>
      <c r="F255" s="2" t="s">
        <v>14</v>
      </c>
      <c r="G255" s="2">
        <v>0</v>
      </c>
      <c r="H255" s="2" t="s">
        <v>14</v>
      </c>
      <c r="I255" s="2">
        <v>7.7499999999999999E-2</v>
      </c>
      <c r="J255" s="2" t="s">
        <v>14</v>
      </c>
      <c r="K255" s="2">
        <v>0</v>
      </c>
      <c r="L255" s="4">
        <v>0.03</v>
      </c>
    </row>
    <row r="256" spans="1:12" x14ac:dyDescent="0.25">
      <c r="A256" s="5">
        <v>45292</v>
      </c>
      <c r="B256" s="1" t="s">
        <v>28</v>
      </c>
      <c r="C256" s="1" t="s">
        <v>18</v>
      </c>
      <c r="D256" s="2">
        <v>4.6800000000000001E-2</v>
      </c>
      <c r="E256" s="3">
        <v>1</v>
      </c>
      <c r="F256" s="2" t="s">
        <v>14</v>
      </c>
      <c r="G256" s="2">
        <v>0</v>
      </c>
      <c r="H256" s="2">
        <v>6.5000000000000002E-2</v>
      </c>
      <c r="I256" s="2" t="s">
        <v>14</v>
      </c>
      <c r="J256" s="2" t="s">
        <v>14</v>
      </c>
      <c r="K256" s="2">
        <v>0</v>
      </c>
      <c r="L256" s="4">
        <v>0.03</v>
      </c>
    </row>
    <row r="257" spans="1:12" x14ac:dyDescent="0.25">
      <c r="A257" s="5">
        <v>45292</v>
      </c>
      <c r="B257" s="1" t="s">
        <v>29</v>
      </c>
      <c r="C257" s="1" t="s">
        <v>13</v>
      </c>
      <c r="D257" s="2">
        <v>4.41E-2</v>
      </c>
      <c r="E257" s="3">
        <v>1</v>
      </c>
      <c r="F257" s="2">
        <v>7.7499999999999999E-2</v>
      </c>
      <c r="G257" s="2">
        <v>0</v>
      </c>
      <c r="H257" s="2" t="s">
        <v>14</v>
      </c>
      <c r="I257" s="2" t="s">
        <v>14</v>
      </c>
      <c r="J257" s="2" t="s">
        <v>14</v>
      </c>
      <c r="K257" s="2">
        <v>0</v>
      </c>
      <c r="L257" s="4">
        <v>0.03</v>
      </c>
    </row>
    <row r="258" spans="1:12" x14ac:dyDescent="0.25">
      <c r="A258" s="5">
        <v>45292</v>
      </c>
      <c r="B258" s="1" t="s">
        <v>29</v>
      </c>
      <c r="C258" s="1" t="s">
        <v>16</v>
      </c>
      <c r="D258" s="2">
        <v>2.46E-2</v>
      </c>
      <c r="E258" s="3">
        <v>1</v>
      </c>
      <c r="F258" s="2">
        <v>5.7500000000000002E-2</v>
      </c>
      <c r="G258" s="2">
        <v>1.4999999999999999E-2</v>
      </c>
      <c r="H258" s="2" t="s">
        <v>14</v>
      </c>
      <c r="I258" s="2" t="s">
        <v>14</v>
      </c>
      <c r="J258" s="2" t="s">
        <v>14</v>
      </c>
      <c r="K258" s="2">
        <v>0</v>
      </c>
      <c r="L258" s="4">
        <v>0.03</v>
      </c>
    </row>
    <row r="259" spans="1:12" x14ac:dyDescent="0.25">
      <c r="A259" s="5">
        <v>45292</v>
      </c>
      <c r="B259" s="1" t="s">
        <v>29</v>
      </c>
      <c r="C259" s="1" t="s">
        <v>17</v>
      </c>
      <c r="D259" s="2">
        <v>3.49E-2</v>
      </c>
      <c r="E259" s="3">
        <v>1</v>
      </c>
      <c r="F259" s="2" t="s">
        <v>14</v>
      </c>
      <c r="G259" s="2">
        <v>0</v>
      </c>
      <c r="H259" s="2" t="s">
        <v>14</v>
      </c>
      <c r="I259" s="2">
        <v>8.6999999999999994E-2</v>
      </c>
      <c r="J259" s="2" t="s">
        <v>14</v>
      </c>
      <c r="K259" s="2">
        <v>0</v>
      </c>
      <c r="L259" s="4">
        <v>0.03</v>
      </c>
    </row>
    <row r="260" spans="1:12" x14ac:dyDescent="0.25">
      <c r="A260" s="5">
        <v>45292</v>
      </c>
      <c r="B260" s="1" t="s">
        <v>29</v>
      </c>
      <c r="C260" s="1" t="s">
        <v>18</v>
      </c>
      <c r="D260" s="2">
        <v>4.1000000000000002E-2</v>
      </c>
      <c r="E260" s="3">
        <v>1</v>
      </c>
      <c r="F260" s="2" t="s">
        <v>14</v>
      </c>
      <c r="G260" s="2">
        <v>0</v>
      </c>
      <c r="H260" s="2">
        <v>5.7000000000000002E-2</v>
      </c>
      <c r="I260" s="2" t="s">
        <v>14</v>
      </c>
      <c r="J260" s="2" t="s">
        <v>14</v>
      </c>
      <c r="K260" s="2">
        <v>0</v>
      </c>
      <c r="L260" s="4">
        <v>0.03</v>
      </c>
    </row>
    <row r="261" spans="1:12" x14ac:dyDescent="0.25">
      <c r="A261" s="5">
        <v>45323</v>
      </c>
      <c r="B261" s="1" t="s">
        <v>12</v>
      </c>
      <c r="C261" s="1" t="s">
        <v>13</v>
      </c>
      <c r="D261" s="2">
        <v>5.1700000000000003E-2</v>
      </c>
      <c r="E261" s="3">
        <v>1</v>
      </c>
      <c r="F261" s="2">
        <v>9.7500000000000003E-2</v>
      </c>
      <c r="G261" s="2">
        <v>0</v>
      </c>
      <c r="H261" s="2" t="s">
        <v>14</v>
      </c>
      <c r="I261" s="2" t="s">
        <v>14</v>
      </c>
      <c r="J261" s="2" t="s">
        <v>14</v>
      </c>
      <c r="K261" s="2">
        <v>0</v>
      </c>
      <c r="L261" s="4">
        <v>0.03</v>
      </c>
    </row>
    <row r="262" spans="1:12" x14ac:dyDescent="0.25">
      <c r="A262" s="5">
        <v>45323</v>
      </c>
      <c r="B262" s="1" t="s">
        <v>15</v>
      </c>
      <c r="C262" s="1" t="s">
        <v>13</v>
      </c>
      <c r="D262" s="2">
        <v>5.1700000000000003E-2</v>
      </c>
      <c r="E262" s="3">
        <v>1</v>
      </c>
      <c r="F262" s="2">
        <v>9.7500000000000003E-2</v>
      </c>
      <c r="G262" s="2">
        <v>0</v>
      </c>
      <c r="H262" s="2" t="s">
        <v>14</v>
      </c>
      <c r="I262" s="2" t="s">
        <v>14</v>
      </c>
      <c r="J262" s="2" t="s">
        <v>14</v>
      </c>
      <c r="K262" s="2">
        <v>0</v>
      </c>
      <c r="L262" s="4">
        <v>0.03</v>
      </c>
    </row>
    <row r="263" spans="1:12" x14ac:dyDescent="0.25">
      <c r="A263" s="5">
        <v>45323</v>
      </c>
      <c r="B263" s="1" t="s">
        <v>15</v>
      </c>
      <c r="C263" s="1" t="s">
        <v>16</v>
      </c>
      <c r="D263" s="2">
        <v>3.6999999999999998E-2</v>
      </c>
      <c r="E263" s="3">
        <v>1</v>
      </c>
      <c r="F263" s="2">
        <v>8.5000000000000006E-2</v>
      </c>
      <c r="G263" s="2">
        <v>1.4999999999999999E-2</v>
      </c>
      <c r="H263" s="2" t="s">
        <v>14</v>
      </c>
      <c r="I263" s="2" t="s">
        <v>14</v>
      </c>
      <c r="J263" s="2" t="s">
        <v>14</v>
      </c>
      <c r="K263" s="2">
        <v>0</v>
      </c>
      <c r="L263" s="4">
        <v>0.03</v>
      </c>
    </row>
    <row r="264" spans="1:12" x14ac:dyDescent="0.25">
      <c r="A264" s="5">
        <v>45323</v>
      </c>
      <c r="B264" s="1" t="s">
        <v>15</v>
      </c>
      <c r="C264" s="1" t="s">
        <v>17</v>
      </c>
      <c r="D264" s="2">
        <v>3.4599999999999999E-2</v>
      </c>
      <c r="E264" s="3">
        <v>1</v>
      </c>
      <c r="F264" s="2" t="s">
        <v>14</v>
      </c>
      <c r="G264" s="2">
        <v>0</v>
      </c>
      <c r="H264" s="2" t="s">
        <v>14</v>
      </c>
      <c r="I264" s="2">
        <v>0.08</v>
      </c>
      <c r="J264" s="2" t="s">
        <v>14</v>
      </c>
      <c r="K264" s="2">
        <v>0</v>
      </c>
      <c r="L264" s="4">
        <v>0.03</v>
      </c>
    </row>
    <row r="265" spans="1:12" x14ac:dyDescent="0.25">
      <c r="A265" s="5">
        <v>45323</v>
      </c>
      <c r="B265" s="1" t="s">
        <v>15</v>
      </c>
      <c r="C265" s="1" t="s">
        <v>18</v>
      </c>
      <c r="D265" s="2">
        <v>5.3699999999999998E-2</v>
      </c>
      <c r="E265" s="3">
        <v>1</v>
      </c>
      <c r="F265" s="2" t="s">
        <v>14</v>
      </c>
      <c r="G265" s="2">
        <v>0</v>
      </c>
      <c r="H265" s="2">
        <v>7.4999999999999997E-2</v>
      </c>
      <c r="I265" s="2" t="s">
        <v>14</v>
      </c>
      <c r="J265" s="2" t="s">
        <v>14</v>
      </c>
      <c r="K265" s="2">
        <v>0</v>
      </c>
      <c r="L265" s="4">
        <v>0.03</v>
      </c>
    </row>
    <row r="266" spans="1:12" x14ac:dyDescent="0.25">
      <c r="A266" s="5">
        <v>45323</v>
      </c>
      <c r="B266" s="1" t="s">
        <v>19</v>
      </c>
      <c r="C266" s="1" t="s">
        <v>13</v>
      </c>
      <c r="D266" s="2">
        <v>4.1000000000000002E-2</v>
      </c>
      <c r="E266" s="3">
        <v>1</v>
      </c>
      <c r="F266" s="2">
        <v>7.2499999999999995E-2</v>
      </c>
      <c r="G266" s="2">
        <v>0</v>
      </c>
      <c r="H266" s="2" t="s">
        <v>14</v>
      </c>
      <c r="I266" s="2" t="s">
        <v>14</v>
      </c>
      <c r="J266" s="2" t="s">
        <v>14</v>
      </c>
      <c r="K266" s="2">
        <v>0</v>
      </c>
      <c r="L266" s="4">
        <v>0.03</v>
      </c>
    </row>
    <row r="267" spans="1:12" x14ac:dyDescent="0.25">
      <c r="A267" s="5">
        <v>45323</v>
      </c>
      <c r="B267" s="1" t="s">
        <v>19</v>
      </c>
      <c r="C267" s="1" t="s">
        <v>16</v>
      </c>
      <c r="D267" s="2">
        <v>2.5399999999999999E-2</v>
      </c>
      <c r="E267" s="3">
        <v>1</v>
      </c>
      <c r="F267" s="2">
        <v>0.06</v>
      </c>
      <c r="G267" s="2">
        <v>1.4999999999999999E-2</v>
      </c>
      <c r="H267" s="2" t="s">
        <v>14</v>
      </c>
      <c r="I267" s="2" t="s">
        <v>14</v>
      </c>
      <c r="J267" s="2" t="s">
        <v>14</v>
      </c>
      <c r="K267" s="2">
        <v>0</v>
      </c>
      <c r="L267" s="4">
        <v>0.03</v>
      </c>
    </row>
    <row r="268" spans="1:12" x14ac:dyDescent="0.25">
      <c r="A268" s="5">
        <v>45323</v>
      </c>
      <c r="B268" s="1" t="s">
        <v>19</v>
      </c>
      <c r="C268" s="1" t="s">
        <v>17</v>
      </c>
      <c r="D268" s="2">
        <v>3.0300000000000001E-2</v>
      </c>
      <c r="E268" s="3">
        <v>1</v>
      </c>
      <c r="F268" s="2" t="s">
        <v>14</v>
      </c>
      <c r="G268" s="2">
        <v>0</v>
      </c>
      <c r="H268" s="2" t="s">
        <v>14</v>
      </c>
      <c r="I268" s="2">
        <v>0.09</v>
      </c>
      <c r="J268" s="2" t="s">
        <v>14</v>
      </c>
      <c r="K268" s="2">
        <v>0</v>
      </c>
      <c r="L268" s="4">
        <v>0.03</v>
      </c>
    </row>
    <row r="269" spans="1:12" x14ac:dyDescent="0.25">
      <c r="A269" s="5">
        <v>45323</v>
      </c>
      <c r="B269" s="1" t="s">
        <v>19</v>
      </c>
      <c r="C269" s="1" t="s">
        <v>18</v>
      </c>
      <c r="D269" s="2">
        <v>4.2900000000000001E-2</v>
      </c>
      <c r="E269" s="3">
        <v>1</v>
      </c>
      <c r="F269" s="2" t="s">
        <v>14</v>
      </c>
      <c r="G269" s="2">
        <v>0</v>
      </c>
      <c r="H269" s="2">
        <v>0.06</v>
      </c>
      <c r="I269" s="2" t="s">
        <v>14</v>
      </c>
      <c r="J269" s="2" t="s">
        <v>14</v>
      </c>
      <c r="K269" s="2">
        <v>0</v>
      </c>
      <c r="L269" s="4">
        <v>0.03</v>
      </c>
    </row>
    <row r="270" spans="1:12" x14ac:dyDescent="0.25">
      <c r="A270" s="5">
        <v>45323</v>
      </c>
      <c r="B270" s="1" t="s">
        <v>20</v>
      </c>
      <c r="C270" s="1" t="s">
        <v>13</v>
      </c>
      <c r="D270" s="2">
        <v>5.1700000000000003E-2</v>
      </c>
      <c r="E270" s="3">
        <v>1</v>
      </c>
      <c r="F270" s="2">
        <v>9.7500000000000003E-2</v>
      </c>
      <c r="G270" s="2">
        <v>0</v>
      </c>
      <c r="H270" s="2" t="s">
        <v>14</v>
      </c>
      <c r="I270" s="2" t="s">
        <v>14</v>
      </c>
      <c r="J270" s="2" t="s">
        <v>14</v>
      </c>
      <c r="K270" s="2">
        <v>0</v>
      </c>
      <c r="L270" s="4">
        <v>0.03</v>
      </c>
    </row>
    <row r="271" spans="1:12" x14ac:dyDescent="0.25">
      <c r="A271" s="5">
        <v>45323</v>
      </c>
      <c r="B271" s="1" t="s">
        <v>20</v>
      </c>
      <c r="C271" s="1" t="s">
        <v>17</v>
      </c>
      <c r="D271" s="2">
        <v>3.4599999999999999E-2</v>
      </c>
      <c r="E271" s="3">
        <v>1</v>
      </c>
      <c r="F271" s="2" t="s">
        <v>14</v>
      </c>
      <c r="G271" s="2">
        <v>0</v>
      </c>
      <c r="H271" s="2" t="s">
        <v>14</v>
      </c>
      <c r="I271" s="2">
        <v>0.08</v>
      </c>
      <c r="J271" s="2" t="s">
        <v>14</v>
      </c>
      <c r="K271" s="2">
        <v>0</v>
      </c>
      <c r="L271" s="4">
        <v>0.03</v>
      </c>
    </row>
    <row r="272" spans="1:12" x14ac:dyDescent="0.25">
      <c r="A272" s="5">
        <v>45323</v>
      </c>
      <c r="B272" s="1" t="s">
        <v>20</v>
      </c>
      <c r="C272" s="1" t="s">
        <v>21</v>
      </c>
      <c r="D272" s="2">
        <v>5.9299999999999999E-2</v>
      </c>
      <c r="E272" s="3">
        <v>1</v>
      </c>
      <c r="F272" s="2">
        <v>0.12</v>
      </c>
      <c r="G272" s="2">
        <v>0</v>
      </c>
      <c r="H272" s="2" t="s">
        <v>14</v>
      </c>
      <c r="I272" s="2" t="s">
        <v>14</v>
      </c>
      <c r="J272" s="2">
        <v>4.1500000000000002E-2</v>
      </c>
      <c r="K272" s="2">
        <v>0.6</v>
      </c>
      <c r="L272" s="4">
        <v>0.03</v>
      </c>
    </row>
    <row r="273" spans="1:12" x14ac:dyDescent="0.25">
      <c r="A273" s="5">
        <v>45323</v>
      </c>
      <c r="B273" s="1" t="s">
        <v>20</v>
      </c>
      <c r="C273" s="1" t="s">
        <v>22</v>
      </c>
      <c r="D273" s="2">
        <v>5.9299999999999999E-2</v>
      </c>
      <c r="E273" s="3">
        <v>1</v>
      </c>
      <c r="F273" s="2">
        <v>0.12</v>
      </c>
      <c r="G273" s="2">
        <v>0</v>
      </c>
      <c r="H273" s="2" t="s">
        <v>14</v>
      </c>
      <c r="I273" s="2" t="s">
        <v>14</v>
      </c>
      <c r="J273" s="2">
        <v>2.1499999999999998E-2</v>
      </c>
      <c r="K273" s="2">
        <v>0.24</v>
      </c>
      <c r="L273" s="4">
        <v>0.03</v>
      </c>
    </row>
    <row r="274" spans="1:12" x14ac:dyDescent="0.25">
      <c r="A274" s="5">
        <v>45323</v>
      </c>
      <c r="B274" s="1" t="s">
        <v>23</v>
      </c>
      <c r="C274" s="1" t="s">
        <v>24</v>
      </c>
      <c r="D274" s="2">
        <v>2.2439996536508605E-2</v>
      </c>
      <c r="E274" s="3">
        <v>2.4</v>
      </c>
      <c r="F274" s="2" t="s">
        <v>14</v>
      </c>
      <c r="G274" s="2">
        <v>0</v>
      </c>
      <c r="H274" s="2" t="s">
        <v>14</v>
      </c>
      <c r="I274" s="2" t="s">
        <v>14</v>
      </c>
      <c r="J274" s="2" t="s">
        <v>14</v>
      </c>
      <c r="K274" s="2">
        <v>0</v>
      </c>
      <c r="L274" s="4">
        <v>0.03</v>
      </c>
    </row>
    <row r="275" spans="1:12" x14ac:dyDescent="0.25">
      <c r="A275" s="5">
        <v>45323</v>
      </c>
      <c r="B275" s="1" t="s">
        <v>23</v>
      </c>
      <c r="C275" s="1" t="s">
        <v>25</v>
      </c>
      <c r="D275" s="2">
        <v>5.3014496483052287E-2</v>
      </c>
      <c r="E275" s="3">
        <v>1</v>
      </c>
      <c r="F275" s="2">
        <v>0.10249999999999999</v>
      </c>
      <c r="G275" s="2">
        <v>0</v>
      </c>
      <c r="H275" s="2" t="s">
        <v>14</v>
      </c>
      <c r="I275" s="2" t="s">
        <v>14</v>
      </c>
      <c r="J275" s="2" t="s">
        <v>14</v>
      </c>
      <c r="K275" s="2">
        <v>0</v>
      </c>
      <c r="L275" s="4">
        <v>0.03</v>
      </c>
    </row>
    <row r="276" spans="1:12" x14ac:dyDescent="0.25">
      <c r="A276" s="5">
        <v>45323</v>
      </c>
      <c r="B276" s="1" t="s">
        <v>23</v>
      </c>
      <c r="C276" s="1" t="s">
        <v>13</v>
      </c>
      <c r="D276" s="2">
        <v>5.3600000000000002E-2</v>
      </c>
      <c r="E276" s="3">
        <v>1</v>
      </c>
      <c r="F276" s="2">
        <v>0.10249999999999999</v>
      </c>
      <c r="G276" s="2">
        <v>0</v>
      </c>
      <c r="H276" s="2" t="s">
        <v>14</v>
      </c>
      <c r="I276" s="2" t="s">
        <v>14</v>
      </c>
      <c r="J276" s="2" t="s">
        <v>14</v>
      </c>
      <c r="K276" s="2">
        <v>0</v>
      </c>
      <c r="L276" s="4">
        <v>0.03</v>
      </c>
    </row>
    <row r="277" spans="1:12" x14ac:dyDescent="0.25">
      <c r="A277" s="5">
        <v>45323</v>
      </c>
      <c r="B277" s="1" t="s">
        <v>23</v>
      </c>
      <c r="C277" s="1" t="s">
        <v>17</v>
      </c>
      <c r="D277" s="2">
        <v>3.4599999999999999E-2</v>
      </c>
      <c r="E277" s="3">
        <v>1</v>
      </c>
      <c r="F277" s="2" t="s">
        <v>14</v>
      </c>
      <c r="G277" s="2">
        <v>0</v>
      </c>
      <c r="H277" s="2" t="s">
        <v>14</v>
      </c>
      <c r="I277" s="2">
        <v>0.08</v>
      </c>
      <c r="J277" s="2" t="s">
        <v>14</v>
      </c>
      <c r="K277" s="2">
        <v>0</v>
      </c>
      <c r="L277" s="4">
        <v>0.03</v>
      </c>
    </row>
    <row r="278" spans="1:12" x14ac:dyDescent="0.25">
      <c r="A278" s="5">
        <v>45323</v>
      </c>
      <c r="B278" s="1" t="s">
        <v>23</v>
      </c>
      <c r="C278" s="1" t="s">
        <v>21</v>
      </c>
      <c r="D278" s="2">
        <v>5.9299999999999999E-2</v>
      </c>
      <c r="E278" s="3">
        <v>1</v>
      </c>
      <c r="F278" s="2">
        <v>0.12</v>
      </c>
      <c r="G278" s="2">
        <v>0</v>
      </c>
      <c r="H278" s="2" t="s">
        <v>14</v>
      </c>
      <c r="I278" s="2" t="s">
        <v>14</v>
      </c>
      <c r="J278" s="2">
        <v>4.1500000000000002E-2</v>
      </c>
      <c r="K278" s="2">
        <v>0.6</v>
      </c>
      <c r="L278" s="4">
        <v>0.03</v>
      </c>
    </row>
    <row r="279" spans="1:12" x14ac:dyDescent="0.25">
      <c r="A279" s="5">
        <v>45323</v>
      </c>
      <c r="B279" s="1" t="s">
        <v>23</v>
      </c>
      <c r="C279" s="1" t="s">
        <v>22</v>
      </c>
      <c r="D279" s="2">
        <v>5.9299999999999999E-2</v>
      </c>
      <c r="E279" s="3">
        <v>1</v>
      </c>
      <c r="F279" s="2">
        <v>0.12</v>
      </c>
      <c r="G279" s="2">
        <v>0</v>
      </c>
      <c r="H279" s="2" t="s">
        <v>14</v>
      </c>
      <c r="I279" s="2" t="s">
        <v>14</v>
      </c>
      <c r="J279" s="2">
        <v>2.1499999999999998E-2</v>
      </c>
      <c r="K279" s="2">
        <v>0.24</v>
      </c>
      <c r="L279" s="4">
        <v>0.03</v>
      </c>
    </row>
    <row r="280" spans="1:12" x14ac:dyDescent="0.25">
      <c r="A280" s="5">
        <v>45323</v>
      </c>
      <c r="B280" s="1" t="s">
        <v>26</v>
      </c>
      <c r="C280" s="1" t="s">
        <v>24</v>
      </c>
      <c r="D280" s="2">
        <v>2.2439996536508605E-2</v>
      </c>
      <c r="E280" s="3">
        <v>2.4</v>
      </c>
      <c r="F280" s="2" t="s">
        <v>14</v>
      </c>
      <c r="G280" s="2">
        <v>0</v>
      </c>
      <c r="H280" s="2" t="s">
        <v>14</v>
      </c>
      <c r="I280" s="2" t="s">
        <v>14</v>
      </c>
      <c r="J280" s="2" t="s">
        <v>14</v>
      </c>
      <c r="K280" s="2">
        <v>0</v>
      </c>
      <c r="L280" s="4">
        <v>0.03</v>
      </c>
    </row>
    <row r="281" spans="1:12" x14ac:dyDescent="0.25">
      <c r="A281" s="5">
        <v>45323</v>
      </c>
      <c r="B281" s="1" t="s">
        <v>26</v>
      </c>
      <c r="C281" s="1" t="s">
        <v>25</v>
      </c>
      <c r="D281" s="2">
        <v>5.1999999999999998E-2</v>
      </c>
      <c r="E281" s="3">
        <v>1</v>
      </c>
      <c r="F281" s="2">
        <v>0.1</v>
      </c>
      <c r="G281" s="2">
        <v>0</v>
      </c>
      <c r="H281" s="2" t="s">
        <v>14</v>
      </c>
      <c r="I281" s="2" t="s">
        <v>14</v>
      </c>
      <c r="J281" s="2" t="s">
        <v>14</v>
      </c>
      <c r="K281" s="2">
        <v>0</v>
      </c>
      <c r="L281" s="4">
        <v>0.03</v>
      </c>
    </row>
    <row r="282" spans="1:12" x14ac:dyDescent="0.25">
      <c r="A282" s="5">
        <v>45323</v>
      </c>
      <c r="B282" s="1" t="s">
        <v>26</v>
      </c>
      <c r="C282" s="1" t="s">
        <v>13</v>
      </c>
      <c r="D282" s="2">
        <v>5.2699999999999997E-2</v>
      </c>
      <c r="E282" s="3">
        <v>1</v>
      </c>
      <c r="F282" s="2">
        <v>0.1</v>
      </c>
      <c r="G282" s="2">
        <v>0</v>
      </c>
      <c r="H282" s="2" t="s">
        <v>14</v>
      </c>
      <c r="I282" s="2" t="s">
        <v>14</v>
      </c>
      <c r="J282" s="2" t="s">
        <v>14</v>
      </c>
      <c r="K282" s="2">
        <v>0</v>
      </c>
      <c r="L282" s="4">
        <v>0.03</v>
      </c>
    </row>
    <row r="283" spans="1:12" x14ac:dyDescent="0.25">
      <c r="A283" s="5">
        <v>45323</v>
      </c>
      <c r="B283" s="1" t="s">
        <v>26</v>
      </c>
      <c r="C283" s="1" t="s">
        <v>17</v>
      </c>
      <c r="D283" s="2">
        <v>3.4599999999999999E-2</v>
      </c>
      <c r="E283" s="3">
        <v>1</v>
      </c>
      <c r="F283" s="2" t="s">
        <v>14</v>
      </c>
      <c r="G283" s="2">
        <v>0</v>
      </c>
      <c r="H283" s="2" t="s">
        <v>14</v>
      </c>
      <c r="I283" s="2">
        <v>0.08</v>
      </c>
      <c r="J283" s="2" t="s">
        <v>14</v>
      </c>
      <c r="K283" s="2">
        <v>0</v>
      </c>
      <c r="L283" s="4">
        <v>0.03</v>
      </c>
    </row>
    <row r="284" spans="1:12" x14ac:dyDescent="0.25">
      <c r="A284" s="5">
        <v>45323</v>
      </c>
      <c r="B284" s="1" t="s">
        <v>26</v>
      </c>
      <c r="C284" s="1" t="s">
        <v>21</v>
      </c>
      <c r="D284" s="2">
        <v>5.9299999999999999E-2</v>
      </c>
      <c r="E284" s="3">
        <v>1</v>
      </c>
      <c r="F284" s="2">
        <v>0.12</v>
      </c>
      <c r="G284" s="2">
        <v>0</v>
      </c>
      <c r="H284" s="2" t="s">
        <v>14</v>
      </c>
      <c r="I284" s="2" t="s">
        <v>14</v>
      </c>
      <c r="J284" s="2">
        <v>4.1500000000000002E-2</v>
      </c>
      <c r="K284" s="2">
        <v>0.6</v>
      </c>
      <c r="L284" s="4">
        <v>0.03</v>
      </c>
    </row>
    <row r="285" spans="1:12" x14ac:dyDescent="0.25">
      <c r="A285" s="5">
        <v>45323</v>
      </c>
      <c r="B285" s="1" t="s">
        <v>26</v>
      </c>
      <c r="C285" s="1" t="s">
        <v>22</v>
      </c>
      <c r="D285" s="2">
        <v>5.9299999999999999E-2</v>
      </c>
      <c r="E285" s="3">
        <v>1</v>
      </c>
      <c r="F285" s="2">
        <v>0.12</v>
      </c>
      <c r="G285" s="2">
        <v>0</v>
      </c>
      <c r="H285" s="2" t="s">
        <v>14</v>
      </c>
      <c r="I285" s="2" t="s">
        <v>14</v>
      </c>
      <c r="J285" s="2">
        <v>2.1499999999999998E-2</v>
      </c>
      <c r="K285" s="2">
        <v>0.24</v>
      </c>
      <c r="L285" s="4">
        <v>0.03</v>
      </c>
    </row>
    <row r="286" spans="1:12" x14ac:dyDescent="0.25">
      <c r="A286" s="5">
        <v>45323</v>
      </c>
      <c r="B286" s="1" t="s">
        <v>27</v>
      </c>
      <c r="C286" s="1" t="s">
        <v>13</v>
      </c>
      <c r="D286" s="2">
        <v>4.9725470231035247E-2</v>
      </c>
      <c r="E286" s="3">
        <v>1</v>
      </c>
      <c r="F286" s="2">
        <v>9.2499999999999999E-2</v>
      </c>
      <c r="G286" s="2">
        <v>0</v>
      </c>
      <c r="H286" s="2" t="s">
        <v>14</v>
      </c>
      <c r="I286" s="2" t="s">
        <v>14</v>
      </c>
      <c r="J286" s="2" t="s">
        <v>14</v>
      </c>
      <c r="K286" s="2">
        <v>0</v>
      </c>
      <c r="L286" s="4">
        <v>0.03</v>
      </c>
    </row>
    <row r="287" spans="1:12" x14ac:dyDescent="0.25">
      <c r="A287" s="5">
        <v>45323</v>
      </c>
      <c r="B287" s="1" t="s">
        <v>27</v>
      </c>
      <c r="C287" s="1" t="s">
        <v>17</v>
      </c>
      <c r="D287" s="2">
        <v>3.0293766557388864E-2</v>
      </c>
      <c r="E287" s="3">
        <v>1</v>
      </c>
      <c r="F287" s="2" t="s">
        <v>14</v>
      </c>
      <c r="G287" s="2">
        <v>0</v>
      </c>
      <c r="H287" s="2" t="s">
        <v>14</v>
      </c>
      <c r="I287" s="2">
        <v>0.09</v>
      </c>
      <c r="J287" s="2" t="s">
        <v>14</v>
      </c>
      <c r="K287" s="2">
        <v>0</v>
      </c>
      <c r="L287" s="4">
        <v>0.03</v>
      </c>
    </row>
    <row r="288" spans="1:12" x14ac:dyDescent="0.25">
      <c r="A288" s="5">
        <v>45323</v>
      </c>
      <c r="B288" s="1" t="s">
        <v>27</v>
      </c>
      <c r="C288" s="1" t="s">
        <v>24</v>
      </c>
      <c r="D288" s="2">
        <v>2.2439996536508605E-2</v>
      </c>
      <c r="E288" s="3">
        <v>2.2000000000000002</v>
      </c>
      <c r="F288" s="2" t="s">
        <v>14</v>
      </c>
      <c r="G288" s="2">
        <v>0</v>
      </c>
      <c r="H288" s="2" t="s">
        <v>14</v>
      </c>
      <c r="I288" s="2" t="s">
        <v>14</v>
      </c>
      <c r="J288" s="2" t="s">
        <v>14</v>
      </c>
      <c r="K288" s="2">
        <v>0</v>
      </c>
      <c r="L288" s="4">
        <v>0.03</v>
      </c>
    </row>
    <row r="289" spans="1:12" x14ac:dyDescent="0.25">
      <c r="A289" s="5">
        <v>45323</v>
      </c>
      <c r="B289" s="1" t="s">
        <v>27</v>
      </c>
      <c r="C289" s="1" t="s">
        <v>25</v>
      </c>
      <c r="D289" s="2">
        <v>4.8832544126374812E-2</v>
      </c>
      <c r="E289" s="3">
        <v>1</v>
      </c>
      <c r="F289" s="2">
        <v>9.2499999999999999E-2</v>
      </c>
      <c r="G289" s="2">
        <v>0</v>
      </c>
      <c r="H289" s="2" t="s">
        <v>14</v>
      </c>
      <c r="I289" s="2" t="s">
        <v>14</v>
      </c>
      <c r="J289" s="2" t="s">
        <v>14</v>
      </c>
      <c r="K289" s="2">
        <v>0</v>
      </c>
      <c r="L289" s="4">
        <v>0.03</v>
      </c>
    </row>
    <row r="290" spans="1:12" x14ac:dyDescent="0.25">
      <c r="A290" s="5">
        <v>45323</v>
      </c>
      <c r="B290" s="1" t="s">
        <v>28</v>
      </c>
      <c r="C290" s="1" t="s">
        <v>13</v>
      </c>
      <c r="D290" s="2">
        <v>4.6600000000000003E-2</v>
      </c>
      <c r="E290" s="3">
        <v>1</v>
      </c>
      <c r="F290" s="2">
        <v>8.5000000000000006E-2</v>
      </c>
      <c r="G290" s="2">
        <v>0</v>
      </c>
      <c r="H290" s="2" t="s">
        <v>14</v>
      </c>
      <c r="I290" s="2" t="s">
        <v>14</v>
      </c>
      <c r="J290" s="2" t="s">
        <v>14</v>
      </c>
      <c r="K290" s="2">
        <v>0</v>
      </c>
      <c r="L290" s="4">
        <v>0.03</v>
      </c>
    </row>
    <row r="291" spans="1:12" x14ac:dyDescent="0.25">
      <c r="A291" s="5">
        <v>45323</v>
      </c>
      <c r="B291" s="1" t="s">
        <v>28</v>
      </c>
      <c r="C291" s="1" t="s">
        <v>16</v>
      </c>
      <c r="D291" s="2">
        <v>3.0300000000000001E-2</v>
      </c>
      <c r="E291" s="3">
        <v>1</v>
      </c>
      <c r="F291" s="2">
        <v>7.0000000000000007E-2</v>
      </c>
      <c r="G291" s="2">
        <v>1.4999999999999999E-2</v>
      </c>
      <c r="H291" s="2" t="s">
        <v>14</v>
      </c>
      <c r="I291" s="2" t="s">
        <v>14</v>
      </c>
      <c r="J291" s="2" t="s">
        <v>14</v>
      </c>
      <c r="K291" s="2">
        <v>0</v>
      </c>
      <c r="L291" s="4">
        <v>0.03</v>
      </c>
    </row>
    <row r="292" spans="1:12" x14ac:dyDescent="0.25">
      <c r="A292" s="5">
        <v>45323</v>
      </c>
      <c r="B292" s="1" t="s">
        <v>28</v>
      </c>
      <c r="C292" s="1" t="s">
        <v>17</v>
      </c>
      <c r="D292" s="2">
        <v>3.5700000000000003E-2</v>
      </c>
      <c r="E292" s="3">
        <v>1</v>
      </c>
      <c r="F292" s="2" t="s">
        <v>14</v>
      </c>
      <c r="G292" s="2">
        <v>0</v>
      </c>
      <c r="H292" s="2" t="s">
        <v>14</v>
      </c>
      <c r="I292" s="2">
        <v>7.7499999999999999E-2</v>
      </c>
      <c r="J292" s="2" t="s">
        <v>14</v>
      </c>
      <c r="K292" s="2">
        <v>0</v>
      </c>
      <c r="L292" s="4">
        <v>0.03</v>
      </c>
    </row>
    <row r="293" spans="1:12" x14ac:dyDescent="0.25">
      <c r="A293" s="5">
        <v>45323</v>
      </c>
      <c r="B293" s="1" t="s">
        <v>28</v>
      </c>
      <c r="C293" s="1" t="s">
        <v>18</v>
      </c>
      <c r="D293" s="2">
        <v>4.65E-2</v>
      </c>
      <c r="E293" s="3">
        <v>1</v>
      </c>
      <c r="F293" s="2" t="s">
        <v>14</v>
      </c>
      <c r="G293" s="2">
        <v>0</v>
      </c>
      <c r="H293" s="2">
        <v>6.5000000000000002E-2</v>
      </c>
      <c r="I293" s="2" t="s">
        <v>14</v>
      </c>
      <c r="J293" s="2" t="s">
        <v>14</v>
      </c>
      <c r="K293" s="2">
        <v>0</v>
      </c>
      <c r="L293" s="4">
        <v>0.03</v>
      </c>
    </row>
    <row r="294" spans="1:12" x14ac:dyDescent="0.25">
      <c r="A294" s="5">
        <v>45323</v>
      </c>
      <c r="B294" s="1" t="s">
        <v>29</v>
      </c>
      <c r="C294" s="1" t="s">
        <v>13</v>
      </c>
      <c r="D294" s="2">
        <v>4.3299999999999998E-2</v>
      </c>
      <c r="E294" s="3">
        <v>1</v>
      </c>
      <c r="F294" s="2">
        <v>7.7499999999999999E-2</v>
      </c>
      <c r="G294" s="2">
        <v>0</v>
      </c>
      <c r="H294" s="2" t="s">
        <v>14</v>
      </c>
      <c r="I294" s="2" t="s">
        <v>14</v>
      </c>
      <c r="J294" s="2" t="s">
        <v>14</v>
      </c>
      <c r="K294" s="2">
        <v>0</v>
      </c>
      <c r="L294" s="4">
        <v>0.03</v>
      </c>
    </row>
    <row r="295" spans="1:12" x14ac:dyDescent="0.25">
      <c r="A295" s="5">
        <v>45323</v>
      </c>
      <c r="B295" s="1" t="s">
        <v>29</v>
      </c>
      <c r="C295" s="1" t="s">
        <v>16</v>
      </c>
      <c r="D295" s="2">
        <v>2.4199999999999999E-2</v>
      </c>
      <c r="E295" s="3">
        <v>1</v>
      </c>
      <c r="F295" s="2">
        <v>5.7500000000000002E-2</v>
      </c>
      <c r="G295" s="2">
        <v>1.4999999999999999E-2</v>
      </c>
      <c r="H295" s="2" t="s">
        <v>14</v>
      </c>
      <c r="I295" s="2" t="s">
        <v>14</v>
      </c>
      <c r="J295" s="2" t="s">
        <v>14</v>
      </c>
      <c r="K295" s="2">
        <v>0</v>
      </c>
      <c r="L295" s="4">
        <v>0.03</v>
      </c>
    </row>
    <row r="296" spans="1:12" x14ac:dyDescent="0.25">
      <c r="A296" s="5">
        <v>45323</v>
      </c>
      <c r="B296" s="1" t="s">
        <v>29</v>
      </c>
      <c r="C296" s="1" t="s">
        <v>17</v>
      </c>
      <c r="D296" s="2">
        <v>3.15E-2</v>
      </c>
      <c r="E296" s="3">
        <v>1</v>
      </c>
      <c r="F296" s="2" t="s">
        <v>14</v>
      </c>
      <c r="G296" s="2">
        <v>0</v>
      </c>
      <c r="H296" s="2" t="s">
        <v>14</v>
      </c>
      <c r="I296" s="2">
        <v>8.6999999999999994E-2</v>
      </c>
      <c r="J296" s="2" t="s">
        <v>14</v>
      </c>
      <c r="K296" s="2">
        <v>0</v>
      </c>
      <c r="L296" s="4">
        <v>0.03</v>
      </c>
    </row>
    <row r="297" spans="1:12" x14ac:dyDescent="0.25">
      <c r="A297" s="5">
        <v>45323</v>
      </c>
      <c r="B297" s="1" t="s">
        <v>29</v>
      </c>
      <c r="C297" s="1" t="s">
        <v>18</v>
      </c>
      <c r="D297" s="2">
        <v>4.0800000000000003E-2</v>
      </c>
      <c r="E297" s="3">
        <v>1</v>
      </c>
      <c r="F297" s="2" t="s">
        <v>14</v>
      </c>
      <c r="G297" s="2">
        <v>0</v>
      </c>
      <c r="H297" s="2">
        <v>5.7000000000000002E-2</v>
      </c>
      <c r="I297" s="2" t="s">
        <v>14</v>
      </c>
      <c r="J297" s="2" t="s">
        <v>14</v>
      </c>
      <c r="K297" s="2">
        <v>0</v>
      </c>
      <c r="L297" s="4">
        <v>0.03</v>
      </c>
    </row>
    <row r="298" spans="1:12" x14ac:dyDescent="0.25">
      <c r="A298" s="5">
        <v>45352</v>
      </c>
      <c r="B298" s="1" t="s">
        <v>12</v>
      </c>
      <c r="C298" s="1" t="s">
        <v>13</v>
      </c>
      <c r="D298" s="2">
        <v>5.2200000000000003E-2</v>
      </c>
      <c r="E298" s="3">
        <v>1</v>
      </c>
      <c r="F298" s="2">
        <v>9.7500000000000003E-2</v>
      </c>
      <c r="G298" s="2">
        <v>0</v>
      </c>
      <c r="H298" s="2" t="s">
        <v>14</v>
      </c>
      <c r="I298" s="2" t="s">
        <v>14</v>
      </c>
      <c r="J298" s="2" t="s">
        <v>14</v>
      </c>
      <c r="K298" s="2">
        <v>0</v>
      </c>
      <c r="L298" s="4">
        <v>0.03</v>
      </c>
    </row>
    <row r="299" spans="1:12" x14ac:dyDescent="0.25">
      <c r="A299" s="5">
        <v>45352</v>
      </c>
      <c r="B299" s="1" t="s">
        <v>15</v>
      </c>
      <c r="C299" s="1" t="s">
        <v>13</v>
      </c>
      <c r="D299" s="2">
        <v>5.2200000000000003E-2</v>
      </c>
      <c r="E299" s="3">
        <v>1</v>
      </c>
      <c r="F299" s="2">
        <v>9.7500000000000003E-2</v>
      </c>
      <c r="G299" s="2">
        <v>0</v>
      </c>
      <c r="H299" s="2" t="s">
        <v>14</v>
      </c>
      <c r="I299" s="2" t="s">
        <v>14</v>
      </c>
      <c r="J299" s="2" t="s">
        <v>14</v>
      </c>
      <c r="K299" s="2">
        <v>0</v>
      </c>
      <c r="L299" s="4">
        <v>0.03</v>
      </c>
    </row>
    <row r="300" spans="1:12" x14ac:dyDescent="0.25">
      <c r="A300" s="5">
        <v>45352</v>
      </c>
      <c r="B300" s="1" t="s">
        <v>15</v>
      </c>
      <c r="C300" s="1" t="s">
        <v>16</v>
      </c>
      <c r="D300" s="2">
        <v>3.7400000000000003E-2</v>
      </c>
      <c r="E300" s="3">
        <v>1</v>
      </c>
      <c r="F300" s="2">
        <v>8.5000000000000006E-2</v>
      </c>
      <c r="G300" s="2">
        <v>1.4999999999999999E-2</v>
      </c>
      <c r="H300" s="2" t="s">
        <v>14</v>
      </c>
      <c r="I300" s="2" t="s">
        <v>14</v>
      </c>
      <c r="J300" s="2" t="s">
        <v>14</v>
      </c>
      <c r="K300" s="2">
        <v>0</v>
      </c>
      <c r="L300" s="4">
        <v>0.03</v>
      </c>
    </row>
    <row r="301" spans="1:12" x14ac:dyDescent="0.25">
      <c r="A301" s="5">
        <v>45352</v>
      </c>
      <c r="B301" s="1" t="s">
        <v>15</v>
      </c>
      <c r="C301" s="1" t="s">
        <v>17</v>
      </c>
      <c r="D301" s="2">
        <v>3.7600000000000001E-2</v>
      </c>
      <c r="E301" s="3">
        <v>1</v>
      </c>
      <c r="F301" s="2" t="s">
        <v>14</v>
      </c>
      <c r="G301" s="2">
        <v>0</v>
      </c>
      <c r="H301" s="2" t="s">
        <v>14</v>
      </c>
      <c r="I301" s="2">
        <v>0.08</v>
      </c>
      <c r="J301" s="2" t="s">
        <v>14</v>
      </c>
      <c r="K301" s="2">
        <v>0</v>
      </c>
      <c r="L301" s="4">
        <v>0.03</v>
      </c>
    </row>
    <row r="302" spans="1:12" x14ac:dyDescent="0.25">
      <c r="A302" s="5">
        <v>45352</v>
      </c>
      <c r="B302" s="1" t="s">
        <v>15</v>
      </c>
      <c r="C302" s="1" t="s">
        <v>18</v>
      </c>
      <c r="D302" s="2">
        <v>5.4399999999999997E-2</v>
      </c>
      <c r="E302" s="3">
        <v>1</v>
      </c>
      <c r="F302" s="2" t="s">
        <v>14</v>
      </c>
      <c r="G302" s="2">
        <v>0</v>
      </c>
      <c r="H302" s="2">
        <v>7.4999999999999997E-2</v>
      </c>
      <c r="I302" s="2" t="s">
        <v>14</v>
      </c>
      <c r="J302" s="2" t="s">
        <v>14</v>
      </c>
      <c r="K302" s="2">
        <v>0</v>
      </c>
      <c r="L302" s="4">
        <v>0.03</v>
      </c>
    </row>
    <row r="303" spans="1:12" x14ac:dyDescent="0.25">
      <c r="A303" s="5">
        <v>45352</v>
      </c>
      <c r="B303" s="1" t="s">
        <v>19</v>
      </c>
      <c r="C303" s="1" t="s">
        <v>13</v>
      </c>
      <c r="D303" s="2">
        <v>4.1300000000000003E-2</v>
      </c>
      <c r="E303" s="3">
        <v>1</v>
      </c>
      <c r="F303" s="2">
        <v>7.2499999999999995E-2</v>
      </c>
      <c r="G303" s="2">
        <v>0</v>
      </c>
      <c r="H303" s="2" t="s">
        <v>14</v>
      </c>
      <c r="I303" s="2" t="s">
        <v>14</v>
      </c>
      <c r="J303" s="2" t="s">
        <v>14</v>
      </c>
      <c r="K303" s="2">
        <v>0</v>
      </c>
      <c r="L303" s="4">
        <v>0.03</v>
      </c>
    </row>
    <row r="304" spans="1:12" x14ac:dyDescent="0.25">
      <c r="A304" s="5">
        <v>45352</v>
      </c>
      <c r="B304" s="1" t="s">
        <v>19</v>
      </c>
      <c r="C304" s="1" t="s">
        <v>16</v>
      </c>
      <c r="D304" s="2">
        <v>2.5600000000000001E-2</v>
      </c>
      <c r="E304" s="3">
        <v>1</v>
      </c>
      <c r="F304" s="2">
        <v>0.06</v>
      </c>
      <c r="G304" s="2">
        <v>1.4999999999999999E-2</v>
      </c>
      <c r="H304" s="2" t="s">
        <v>14</v>
      </c>
      <c r="I304" s="2" t="s">
        <v>14</v>
      </c>
      <c r="J304" s="2" t="s">
        <v>14</v>
      </c>
      <c r="K304" s="2">
        <v>0</v>
      </c>
      <c r="L304" s="4">
        <v>0.03</v>
      </c>
    </row>
    <row r="305" spans="1:12" x14ac:dyDescent="0.25">
      <c r="A305" s="5">
        <v>45352</v>
      </c>
      <c r="B305" s="1" t="s">
        <v>19</v>
      </c>
      <c r="C305" s="1" t="s">
        <v>17</v>
      </c>
      <c r="D305" s="2">
        <v>3.3300000000000003E-2</v>
      </c>
      <c r="E305" s="3">
        <v>1</v>
      </c>
      <c r="F305" s="2" t="s">
        <v>14</v>
      </c>
      <c r="G305" s="2">
        <v>0</v>
      </c>
      <c r="H305" s="2" t="s">
        <v>14</v>
      </c>
      <c r="I305" s="2">
        <v>0.09</v>
      </c>
      <c r="J305" s="2" t="s">
        <v>14</v>
      </c>
      <c r="K305" s="2">
        <v>0</v>
      </c>
      <c r="L305" s="4">
        <v>0.03</v>
      </c>
    </row>
    <row r="306" spans="1:12" x14ac:dyDescent="0.25">
      <c r="A306" s="5">
        <v>45352</v>
      </c>
      <c r="B306" s="1" t="s">
        <v>19</v>
      </c>
      <c r="C306" s="1" t="s">
        <v>18</v>
      </c>
      <c r="D306" s="2">
        <v>4.3499999999999997E-2</v>
      </c>
      <c r="E306" s="3">
        <v>1</v>
      </c>
      <c r="F306" s="2" t="s">
        <v>14</v>
      </c>
      <c r="G306" s="2">
        <v>0</v>
      </c>
      <c r="H306" s="2">
        <v>0.06</v>
      </c>
      <c r="I306" s="2" t="s">
        <v>14</v>
      </c>
      <c r="J306" s="2" t="s">
        <v>14</v>
      </c>
      <c r="K306" s="2">
        <v>0</v>
      </c>
      <c r="L306" s="4">
        <v>0.03</v>
      </c>
    </row>
    <row r="307" spans="1:12" x14ac:dyDescent="0.25">
      <c r="A307" s="5">
        <v>45352</v>
      </c>
      <c r="B307" s="1" t="s">
        <v>20</v>
      </c>
      <c r="C307" s="1" t="s">
        <v>13</v>
      </c>
      <c r="D307" s="2">
        <v>5.2200000000000003E-2</v>
      </c>
      <c r="E307" s="3">
        <v>1</v>
      </c>
      <c r="F307" s="2">
        <v>9.7500000000000003E-2</v>
      </c>
      <c r="G307" s="2">
        <v>0</v>
      </c>
      <c r="H307" s="2" t="s">
        <v>14</v>
      </c>
      <c r="I307" s="2" t="s">
        <v>14</v>
      </c>
      <c r="J307" s="2" t="s">
        <v>14</v>
      </c>
      <c r="K307" s="2">
        <v>0</v>
      </c>
      <c r="L307" s="4">
        <v>0.03</v>
      </c>
    </row>
    <row r="308" spans="1:12" x14ac:dyDescent="0.25">
      <c r="A308" s="5">
        <v>45352</v>
      </c>
      <c r="B308" s="1" t="s">
        <v>20</v>
      </c>
      <c r="C308" s="1" t="s">
        <v>17</v>
      </c>
      <c r="D308" s="2">
        <v>3.7600000000000001E-2</v>
      </c>
      <c r="E308" s="3">
        <v>1</v>
      </c>
      <c r="F308" s="2" t="s">
        <v>14</v>
      </c>
      <c r="G308" s="2">
        <v>0</v>
      </c>
      <c r="H308" s="2" t="s">
        <v>14</v>
      </c>
      <c r="I308" s="2">
        <v>0.08</v>
      </c>
      <c r="J308" s="2" t="s">
        <v>14</v>
      </c>
      <c r="K308" s="2">
        <v>0</v>
      </c>
      <c r="L308" s="4">
        <v>0.03</v>
      </c>
    </row>
    <row r="309" spans="1:12" x14ac:dyDescent="0.25">
      <c r="A309" s="5">
        <v>45352</v>
      </c>
      <c r="B309" s="1" t="s">
        <v>20</v>
      </c>
      <c r="C309" s="1" t="s">
        <v>21</v>
      </c>
      <c r="D309" s="2">
        <v>0.06</v>
      </c>
      <c r="E309" s="3">
        <v>1</v>
      </c>
      <c r="F309" s="2">
        <v>0.12</v>
      </c>
      <c r="G309" s="2">
        <v>0</v>
      </c>
      <c r="H309" s="2" t="s">
        <v>14</v>
      </c>
      <c r="I309" s="2" t="s">
        <v>14</v>
      </c>
      <c r="J309" s="2">
        <v>4.1500000000000002E-2</v>
      </c>
      <c r="K309" s="2">
        <v>0.6</v>
      </c>
      <c r="L309" s="4">
        <v>0.03</v>
      </c>
    </row>
    <row r="310" spans="1:12" x14ac:dyDescent="0.25">
      <c r="A310" s="5">
        <v>45352</v>
      </c>
      <c r="B310" s="1" t="s">
        <v>20</v>
      </c>
      <c r="C310" s="1" t="s">
        <v>22</v>
      </c>
      <c r="D310" s="2">
        <v>0.06</v>
      </c>
      <c r="E310" s="3">
        <v>1</v>
      </c>
      <c r="F310" s="2">
        <v>0.12</v>
      </c>
      <c r="G310" s="2">
        <v>0</v>
      </c>
      <c r="H310" s="2" t="s">
        <v>14</v>
      </c>
      <c r="I310" s="2" t="s">
        <v>14</v>
      </c>
      <c r="J310" s="2">
        <v>2.1499999999999998E-2</v>
      </c>
      <c r="K310" s="2">
        <v>0.24</v>
      </c>
      <c r="L310" s="4">
        <v>0.03</v>
      </c>
    </row>
    <row r="311" spans="1:12" x14ac:dyDescent="0.25">
      <c r="A311" s="5">
        <v>45352</v>
      </c>
      <c r="B311" s="1" t="s">
        <v>23</v>
      </c>
      <c r="C311" s="1" t="s">
        <v>24</v>
      </c>
      <c r="D311" s="2">
        <v>2.2745996675750044E-2</v>
      </c>
      <c r="E311" s="3">
        <v>2.4</v>
      </c>
      <c r="F311" s="2" t="s">
        <v>14</v>
      </c>
      <c r="G311" s="2">
        <v>0</v>
      </c>
      <c r="H311" s="2" t="s">
        <v>14</v>
      </c>
      <c r="I311" s="2" t="s">
        <v>14</v>
      </c>
      <c r="J311" s="2" t="s">
        <v>14</v>
      </c>
      <c r="K311" s="2">
        <v>0</v>
      </c>
      <c r="L311" s="4">
        <v>0.03</v>
      </c>
    </row>
    <row r="312" spans="1:12" x14ac:dyDescent="0.25">
      <c r="A312" s="5">
        <v>45352</v>
      </c>
      <c r="B312" s="1" t="s">
        <v>23</v>
      </c>
      <c r="C312" s="1" t="s">
        <v>25</v>
      </c>
      <c r="D312" s="2">
        <v>4.9573130171520527E-2</v>
      </c>
      <c r="E312" s="3">
        <v>1</v>
      </c>
      <c r="F312" s="2">
        <v>0.10249999999999999</v>
      </c>
      <c r="G312" s="2">
        <v>0</v>
      </c>
      <c r="H312" s="2" t="s">
        <v>14</v>
      </c>
      <c r="I312" s="2" t="s">
        <v>14</v>
      </c>
      <c r="J312" s="2" t="s">
        <v>14</v>
      </c>
      <c r="K312" s="2">
        <v>0</v>
      </c>
      <c r="L312" s="4">
        <v>0.03</v>
      </c>
    </row>
    <row r="313" spans="1:12" x14ac:dyDescent="0.25">
      <c r="A313" s="5">
        <v>45352</v>
      </c>
      <c r="B313" s="1" t="s">
        <v>23</v>
      </c>
      <c r="C313" s="1" t="s">
        <v>13</v>
      </c>
      <c r="D313" s="2">
        <v>5.4100000000000002E-2</v>
      </c>
      <c r="E313" s="3">
        <v>1</v>
      </c>
      <c r="F313" s="2">
        <v>0.10249999999999999</v>
      </c>
      <c r="G313" s="2">
        <v>0</v>
      </c>
      <c r="H313" s="2" t="s">
        <v>14</v>
      </c>
      <c r="I313" s="2" t="s">
        <v>14</v>
      </c>
      <c r="J313" s="2" t="s">
        <v>14</v>
      </c>
      <c r="K313" s="2">
        <v>0</v>
      </c>
      <c r="L313" s="4">
        <v>0.03</v>
      </c>
    </row>
    <row r="314" spans="1:12" x14ac:dyDescent="0.25">
      <c r="A314" s="5">
        <v>45352</v>
      </c>
      <c r="B314" s="1" t="s">
        <v>23</v>
      </c>
      <c r="C314" s="1" t="s">
        <v>17</v>
      </c>
      <c r="D314" s="2">
        <v>3.7600000000000001E-2</v>
      </c>
      <c r="E314" s="3">
        <v>1</v>
      </c>
      <c r="F314" s="2" t="s">
        <v>14</v>
      </c>
      <c r="G314" s="2">
        <v>0</v>
      </c>
      <c r="H314" s="2" t="s">
        <v>14</v>
      </c>
      <c r="I314" s="2">
        <v>0.08</v>
      </c>
      <c r="J314" s="2" t="s">
        <v>14</v>
      </c>
      <c r="K314" s="2">
        <v>0</v>
      </c>
      <c r="L314" s="4">
        <v>0.03</v>
      </c>
    </row>
    <row r="315" spans="1:12" x14ac:dyDescent="0.25">
      <c r="A315" s="5">
        <v>45352</v>
      </c>
      <c r="B315" s="1" t="s">
        <v>23</v>
      </c>
      <c r="C315" s="1" t="s">
        <v>21</v>
      </c>
      <c r="D315" s="2">
        <v>0.06</v>
      </c>
      <c r="E315" s="3">
        <v>1</v>
      </c>
      <c r="F315" s="2">
        <v>0.12</v>
      </c>
      <c r="G315" s="2">
        <v>0</v>
      </c>
      <c r="H315" s="2" t="s">
        <v>14</v>
      </c>
      <c r="I315" s="2" t="s">
        <v>14</v>
      </c>
      <c r="J315" s="2">
        <v>4.1500000000000002E-2</v>
      </c>
      <c r="K315" s="2">
        <v>0.6</v>
      </c>
      <c r="L315" s="4">
        <v>0.03</v>
      </c>
    </row>
    <row r="316" spans="1:12" x14ac:dyDescent="0.25">
      <c r="A316" s="5">
        <v>45352</v>
      </c>
      <c r="B316" s="1" t="s">
        <v>23</v>
      </c>
      <c r="C316" s="1" t="s">
        <v>22</v>
      </c>
      <c r="D316" s="2">
        <v>0.06</v>
      </c>
      <c r="E316" s="3">
        <v>1</v>
      </c>
      <c r="F316" s="2">
        <v>0.12</v>
      </c>
      <c r="G316" s="2">
        <v>0</v>
      </c>
      <c r="H316" s="2" t="s">
        <v>14</v>
      </c>
      <c r="I316" s="2" t="s">
        <v>14</v>
      </c>
      <c r="J316" s="2">
        <v>2.1499999999999998E-2</v>
      </c>
      <c r="K316" s="2">
        <v>0.24</v>
      </c>
      <c r="L316" s="4">
        <v>0.03</v>
      </c>
    </row>
    <row r="317" spans="1:12" x14ac:dyDescent="0.25">
      <c r="A317" s="5">
        <v>45352</v>
      </c>
      <c r="B317" s="1" t="s">
        <v>26</v>
      </c>
      <c r="C317" s="1" t="s">
        <v>24</v>
      </c>
      <c r="D317" s="2">
        <v>2.2745996675750044E-2</v>
      </c>
      <c r="E317" s="3">
        <v>2.4</v>
      </c>
      <c r="F317" s="2" t="s">
        <v>14</v>
      </c>
      <c r="G317" s="2">
        <v>0</v>
      </c>
      <c r="H317" s="2" t="s">
        <v>14</v>
      </c>
      <c r="I317" s="2" t="s">
        <v>14</v>
      </c>
      <c r="J317" s="2" t="s">
        <v>14</v>
      </c>
      <c r="K317" s="2">
        <v>0</v>
      </c>
      <c r="L317" s="4">
        <v>0.03</v>
      </c>
    </row>
    <row r="318" spans="1:12" x14ac:dyDescent="0.25">
      <c r="A318" s="5">
        <v>45352</v>
      </c>
      <c r="B318" s="1" t="s">
        <v>26</v>
      </c>
      <c r="C318" s="1" t="s">
        <v>25</v>
      </c>
      <c r="D318" s="2">
        <v>4.8599999999999997E-2</v>
      </c>
      <c r="E318" s="3">
        <v>1</v>
      </c>
      <c r="F318" s="2">
        <v>0.1</v>
      </c>
      <c r="G318" s="2">
        <v>0</v>
      </c>
      <c r="H318" s="2" t="s">
        <v>14</v>
      </c>
      <c r="I318" s="2" t="s">
        <v>14</v>
      </c>
      <c r="J318" s="2" t="s">
        <v>14</v>
      </c>
      <c r="K318" s="2">
        <v>0</v>
      </c>
      <c r="L318" s="4">
        <v>0.03</v>
      </c>
    </row>
    <row r="319" spans="1:12" x14ac:dyDescent="0.25">
      <c r="A319" s="5">
        <v>45352</v>
      </c>
      <c r="B319" s="1" t="s">
        <v>26</v>
      </c>
      <c r="C319" s="1" t="s">
        <v>13</v>
      </c>
      <c r="D319" s="2">
        <v>5.3199999999999997E-2</v>
      </c>
      <c r="E319" s="3">
        <v>1</v>
      </c>
      <c r="F319" s="2">
        <v>0.1</v>
      </c>
      <c r="G319" s="2">
        <v>0</v>
      </c>
      <c r="H319" s="2" t="s">
        <v>14</v>
      </c>
      <c r="I319" s="2" t="s">
        <v>14</v>
      </c>
      <c r="J319" s="2" t="s">
        <v>14</v>
      </c>
      <c r="K319" s="2">
        <v>0</v>
      </c>
      <c r="L319" s="4">
        <v>0.03</v>
      </c>
    </row>
    <row r="320" spans="1:12" x14ac:dyDescent="0.25">
      <c r="A320" s="5">
        <v>45352</v>
      </c>
      <c r="B320" s="1" t="s">
        <v>26</v>
      </c>
      <c r="C320" s="1" t="s">
        <v>17</v>
      </c>
      <c r="D320" s="2">
        <v>3.7600000000000001E-2</v>
      </c>
      <c r="E320" s="3">
        <v>1</v>
      </c>
      <c r="F320" s="2" t="s">
        <v>14</v>
      </c>
      <c r="G320" s="2">
        <v>0</v>
      </c>
      <c r="H320" s="2" t="s">
        <v>14</v>
      </c>
      <c r="I320" s="2">
        <v>0.08</v>
      </c>
      <c r="J320" s="2" t="s">
        <v>14</v>
      </c>
      <c r="K320" s="2">
        <v>0</v>
      </c>
      <c r="L320" s="4">
        <v>0.03</v>
      </c>
    </row>
    <row r="321" spans="1:12" x14ac:dyDescent="0.25">
      <c r="A321" s="5">
        <v>45352</v>
      </c>
      <c r="B321" s="1" t="s">
        <v>26</v>
      </c>
      <c r="C321" s="1" t="s">
        <v>21</v>
      </c>
      <c r="D321" s="2">
        <v>0.06</v>
      </c>
      <c r="E321" s="3">
        <v>1</v>
      </c>
      <c r="F321" s="2">
        <v>0.12</v>
      </c>
      <c r="G321" s="2">
        <v>0</v>
      </c>
      <c r="H321" s="2" t="s">
        <v>14</v>
      </c>
      <c r="I321" s="2" t="s">
        <v>14</v>
      </c>
      <c r="J321" s="2">
        <v>4.1500000000000002E-2</v>
      </c>
      <c r="K321" s="2">
        <v>0.6</v>
      </c>
      <c r="L321" s="4">
        <v>0.03</v>
      </c>
    </row>
    <row r="322" spans="1:12" x14ac:dyDescent="0.25">
      <c r="A322" s="5">
        <v>45352</v>
      </c>
      <c r="B322" s="1" t="s">
        <v>26</v>
      </c>
      <c r="C322" s="1" t="s">
        <v>22</v>
      </c>
      <c r="D322" s="2">
        <v>0.06</v>
      </c>
      <c r="E322" s="3">
        <v>1</v>
      </c>
      <c r="F322" s="2">
        <v>0.12</v>
      </c>
      <c r="G322" s="2">
        <v>0</v>
      </c>
      <c r="H322" s="2" t="s">
        <v>14</v>
      </c>
      <c r="I322" s="2" t="s">
        <v>14</v>
      </c>
      <c r="J322" s="2">
        <v>2.1499999999999998E-2</v>
      </c>
      <c r="K322" s="2">
        <v>0.24</v>
      </c>
      <c r="L322" s="4">
        <v>0.03</v>
      </c>
    </row>
    <row r="323" spans="1:12" x14ac:dyDescent="0.25">
      <c r="A323" s="5">
        <v>45352</v>
      </c>
      <c r="B323" s="1" t="s">
        <v>27</v>
      </c>
      <c r="C323" s="1" t="s">
        <v>13</v>
      </c>
      <c r="D323" s="2">
        <v>5.0168112031678251E-2</v>
      </c>
      <c r="E323" s="3">
        <v>1</v>
      </c>
      <c r="F323" s="2">
        <v>9.2499999999999999E-2</v>
      </c>
      <c r="G323" s="2">
        <v>0</v>
      </c>
      <c r="H323" s="2" t="s">
        <v>14</v>
      </c>
      <c r="I323" s="2" t="s">
        <v>14</v>
      </c>
      <c r="J323" s="2" t="s">
        <v>14</v>
      </c>
      <c r="K323" s="2">
        <v>0</v>
      </c>
      <c r="L323" s="4">
        <v>0.03</v>
      </c>
    </row>
    <row r="324" spans="1:12" x14ac:dyDescent="0.25">
      <c r="A324" s="5">
        <v>45352</v>
      </c>
      <c r="B324" s="1" t="s">
        <v>27</v>
      </c>
      <c r="C324" s="1" t="s">
        <v>17</v>
      </c>
      <c r="D324" s="2">
        <v>3.3277399874475637E-2</v>
      </c>
      <c r="E324" s="3">
        <v>1</v>
      </c>
      <c r="F324" s="2" t="s">
        <v>14</v>
      </c>
      <c r="G324" s="2">
        <v>0</v>
      </c>
      <c r="H324" s="2" t="s">
        <v>14</v>
      </c>
      <c r="I324" s="2">
        <v>0.09</v>
      </c>
      <c r="J324" s="2" t="s">
        <v>14</v>
      </c>
      <c r="K324" s="2">
        <v>0</v>
      </c>
      <c r="L324" s="4">
        <v>0.03</v>
      </c>
    </row>
    <row r="325" spans="1:12" x14ac:dyDescent="0.25">
      <c r="A325" s="5">
        <v>45352</v>
      </c>
      <c r="B325" s="1" t="s">
        <v>27</v>
      </c>
      <c r="C325" s="1" t="s">
        <v>24</v>
      </c>
      <c r="D325" s="2">
        <v>2.2745996675750044E-2</v>
      </c>
      <c r="E325" s="3">
        <v>2.2000000000000002</v>
      </c>
      <c r="F325" s="2" t="s">
        <v>14</v>
      </c>
      <c r="G325" s="2">
        <v>0</v>
      </c>
      <c r="H325" s="2" t="s">
        <v>14</v>
      </c>
      <c r="I325" s="2" t="s">
        <v>14</v>
      </c>
      <c r="J325" s="2" t="s">
        <v>14</v>
      </c>
      <c r="K325" s="2">
        <v>0</v>
      </c>
      <c r="L325" s="4">
        <v>0.03</v>
      </c>
    </row>
    <row r="326" spans="1:12" x14ac:dyDescent="0.25">
      <c r="A326" s="5">
        <v>45352</v>
      </c>
      <c r="B326" s="1" t="s">
        <v>27</v>
      </c>
      <c r="C326" s="1" t="s">
        <v>25</v>
      </c>
      <c r="D326" s="2">
        <v>4.5607633923135785E-2</v>
      </c>
      <c r="E326" s="3">
        <v>1</v>
      </c>
      <c r="F326" s="2">
        <v>9.2499999999999999E-2</v>
      </c>
      <c r="G326" s="2">
        <v>0</v>
      </c>
      <c r="H326" s="2" t="s">
        <v>14</v>
      </c>
      <c r="I326" s="2" t="s">
        <v>14</v>
      </c>
      <c r="J326" s="2" t="s">
        <v>14</v>
      </c>
      <c r="K326" s="2">
        <v>0</v>
      </c>
      <c r="L326" s="4">
        <v>0.03</v>
      </c>
    </row>
    <row r="327" spans="1:12" x14ac:dyDescent="0.25">
      <c r="A327" s="5">
        <v>45352</v>
      </c>
      <c r="B327" s="1" t="s">
        <v>28</v>
      </c>
      <c r="C327" s="1" t="s">
        <v>13</v>
      </c>
      <c r="D327" s="2">
        <v>4.7E-2</v>
      </c>
      <c r="E327" s="3">
        <v>1</v>
      </c>
      <c r="F327" s="2">
        <v>8.5000000000000006E-2</v>
      </c>
      <c r="G327" s="2">
        <v>0</v>
      </c>
      <c r="H327" s="2" t="s">
        <v>14</v>
      </c>
      <c r="I327" s="2" t="s">
        <v>14</v>
      </c>
      <c r="J327" s="2" t="s">
        <v>14</v>
      </c>
      <c r="K327" s="2">
        <v>0</v>
      </c>
      <c r="L327" s="4">
        <v>0.03</v>
      </c>
    </row>
    <row r="328" spans="1:12" x14ac:dyDescent="0.25">
      <c r="A328" s="5">
        <v>45352</v>
      </c>
      <c r="B328" s="1" t="s">
        <v>28</v>
      </c>
      <c r="C328" s="1" t="s">
        <v>16</v>
      </c>
      <c r="D328" s="2">
        <v>3.0499999999999999E-2</v>
      </c>
      <c r="E328" s="3">
        <v>1</v>
      </c>
      <c r="F328" s="2">
        <v>7.0000000000000007E-2</v>
      </c>
      <c r="G328" s="2">
        <v>1.4999999999999999E-2</v>
      </c>
      <c r="H328" s="2" t="s">
        <v>14</v>
      </c>
      <c r="I328" s="2" t="s">
        <v>14</v>
      </c>
      <c r="J328" s="2" t="s">
        <v>14</v>
      </c>
      <c r="K328" s="2">
        <v>0</v>
      </c>
      <c r="L328" s="4">
        <v>0.03</v>
      </c>
    </row>
    <row r="329" spans="1:12" x14ac:dyDescent="0.25">
      <c r="A329" s="5">
        <v>45352</v>
      </c>
      <c r="B329" s="1" t="s">
        <v>28</v>
      </c>
      <c r="C329" s="1" t="s">
        <v>17</v>
      </c>
      <c r="D329" s="2">
        <v>3.8800000000000001E-2</v>
      </c>
      <c r="E329" s="3">
        <v>1</v>
      </c>
      <c r="F329" s="2" t="s">
        <v>14</v>
      </c>
      <c r="G329" s="2">
        <v>0</v>
      </c>
      <c r="H329" s="2" t="s">
        <v>14</v>
      </c>
      <c r="I329" s="2">
        <v>7.7499999999999999E-2</v>
      </c>
      <c r="J329" s="2" t="s">
        <v>14</v>
      </c>
      <c r="K329" s="2">
        <v>0</v>
      </c>
      <c r="L329" s="4">
        <v>0.03</v>
      </c>
    </row>
    <row r="330" spans="1:12" x14ac:dyDescent="0.25">
      <c r="A330" s="5">
        <v>45352</v>
      </c>
      <c r="B330" s="1" t="s">
        <v>28</v>
      </c>
      <c r="C330" s="1" t="s">
        <v>18</v>
      </c>
      <c r="D330" s="2">
        <v>4.7100000000000003E-2</v>
      </c>
      <c r="E330" s="3">
        <v>1</v>
      </c>
      <c r="F330" s="2" t="s">
        <v>14</v>
      </c>
      <c r="G330" s="2">
        <v>0</v>
      </c>
      <c r="H330" s="2">
        <v>6.5000000000000002E-2</v>
      </c>
      <c r="I330" s="2" t="s">
        <v>14</v>
      </c>
      <c r="J330" s="2" t="s">
        <v>14</v>
      </c>
      <c r="K330" s="2">
        <v>0</v>
      </c>
      <c r="L330" s="4">
        <v>0.03</v>
      </c>
    </row>
    <row r="331" spans="1:12" x14ac:dyDescent="0.25">
      <c r="A331" s="5">
        <v>45352</v>
      </c>
      <c r="B331" s="1" t="s">
        <v>29</v>
      </c>
      <c r="C331" s="1" t="s">
        <v>13</v>
      </c>
      <c r="D331" s="2">
        <v>4.36E-2</v>
      </c>
      <c r="E331" s="3">
        <v>1</v>
      </c>
      <c r="F331" s="2">
        <v>7.7499999999999999E-2</v>
      </c>
      <c r="G331" s="2">
        <v>0</v>
      </c>
      <c r="H331" s="2" t="s">
        <v>14</v>
      </c>
      <c r="I331" s="2" t="s">
        <v>14</v>
      </c>
      <c r="J331" s="2" t="s">
        <v>14</v>
      </c>
      <c r="K331" s="2">
        <v>0</v>
      </c>
      <c r="L331" s="4">
        <v>0.03</v>
      </c>
    </row>
    <row r="332" spans="1:12" x14ac:dyDescent="0.25">
      <c r="A332" s="5">
        <v>45352</v>
      </c>
      <c r="B332" s="1" t="s">
        <v>29</v>
      </c>
      <c r="C332" s="1" t="s">
        <v>16</v>
      </c>
      <c r="D332" s="2">
        <v>2.4400000000000002E-2</v>
      </c>
      <c r="E332" s="3">
        <v>1</v>
      </c>
      <c r="F332" s="2">
        <v>5.7500000000000002E-2</v>
      </c>
      <c r="G332" s="2">
        <v>1.4999999999999999E-2</v>
      </c>
      <c r="H332" s="2" t="s">
        <v>14</v>
      </c>
      <c r="I332" s="2" t="s">
        <v>14</v>
      </c>
      <c r="J332" s="2" t="s">
        <v>14</v>
      </c>
      <c r="K332" s="2">
        <v>0</v>
      </c>
      <c r="L332" s="4">
        <v>0.03</v>
      </c>
    </row>
    <row r="333" spans="1:12" x14ac:dyDescent="0.25">
      <c r="A333" s="5">
        <v>45352</v>
      </c>
      <c r="B333" s="1" t="s">
        <v>29</v>
      </c>
      <c r="C333" s="1" t="s">
        <v>17</v>
      </c>
      <c r="D333" s="2">
        <v>3.4599999999999999E-2</v>
      </c>
      <c r="E333" s="3">
        <v>1</v>
      </c>
      <c r="F333" s="2" t="s">
        <v>14</v>
      </c>
      <c r="G333" s="2">
        <v>0</v>
      </c>
      <c r="H333" s="2" t="s">
        <v>14</v>
      </c>
      <c r="I333" s="2">
        <v>8.6999999999999994E-2</v>
      </c>
      <c r="J333" s="2" t="s">
        <v>14</v>
      </c>
      <c r="K333" s="2">
        <v>0</v>
      </c>
      <c r="L333" s="4">
        <v>0.03</v>
      </c>
    </row>
    <row r="334" spans="1:12" x14ac:dyDescent="0.25">
      <c r="A334" s="5">
        <v>45352</v>
      </c>
      <c r="B334" s="1" t="s">
        <v>29</v>
      </c>
      <c r="C334" s="1" t="s">
        <v>18</v>
      </c>
      <c r="D334" s="2">
        <v>4.1300000000000003E-2</v>
      </c>
      <c r="E334" s="3">
        <v>1</v>
      </c>
      <c r="F334" s="2" t="s">
        <v>14</v>
      </c>
      <c r="G334" s="2">
        <v>0</v>
      </c>
      <c r="H334" s="2">
        <v>5.7000000000000002E-2</v>
      </c>
      <c r="I334" s="2" t="s">
        <v>14</v>
      </c>
      <c r="J334" s="2" t="s">
        <v>14</v>
      </c>
      <c r="K334" s="2">
        <v>0</v>
      </c>
      <c r="L334" s="4">
        <v>0.03</v>
      </c>
    </row>
    <row r="335" spans="1:12" x14ac:dyDescent="0.25">
      <c r="A335" s="5">
        <v>45383</v>
      </c>
      <c r="B335" s="1" t="s">
        <v>12</v>
      </c>
      <c r="C335" s="1" t="s">
        <v>13</v>
      </c>
      <c r="D335" s="2">
        <v>5.1299999999999998E-2</v>
      </c>
      <c r="E335" s="3">
        <v>1</v>
      </c>
      <c r="F335" s="2">
        <v>9.7500000000000003E-2</v>
      </c>
      <c r="G335" s="2">
        <v>0</v>
      </c>
      <c r="H335" s="2" t="s">
        <v>14</v>
      </c>
      <c r="I335" s="2" t="s">
        <v>14</v>
      </c>
      <c r="J335" s="2" t="s">
        <v>14</v>
      </c>
      <c r="K335" s="2">
        <v>0</v>
      </c>
      <c r="L335" s="4">
        <v>0.03</v>
      </c>
    </row>
    <row r="336" spans="1:12" x14ac:dyDescent="0.25">
      <c r="A336" s="5">
        <v>45383</v>
      </c>
      <c r="B336" s="1" t="s">
        <v>15</v>
      </c>
      <c r="C336" s="1" t="s">
        <v>13</v>
      </c>
      <c r="D336" s="2">
        <v>5.1299999999999998E-2</v>
      </c>
      <c r="E336" s="3">
        <v>1</v>
      </c>
      <c r="F336" s="2">
        <v>9.7500000000000003E-2</v>
      </c>
      <c r="G336" s="2">
        <v>0</v>
      </c>
      <c r="H336" s="2" t="s">
        <v>14</v>
      </c>
      <c r="I336" s="2" t="s">
        <v>14</v>
      </c>
      <c r="J336" s="2" t="s">
        <v>14</v>
      </c>
      <c r="K336" s="2">
        <v>0</v>
      </c>
      <c r="L336" s="4">
        <v>0.03</v>
      </c>
    </row>
    <row r="337" spans="1:12" x14ac:dyDescent="0.25">
      <c r="A337" s="5">
        <v>45383</v>
      </c>
      <c r="B337" s="1" t="s">
        <v>15</v>
      </c>
      <c r="C337" s="1" t="s">
        <v>16</v>
      </c>
      <c r="D337" s="2">
        <v>3.6700000000000003E-2</v>
      </c>
      <c r="E337" s="3">
        <v>1</v>
      </c>
      <c r="F337" s="2">
        <v>8.5000000000000006E-2</v>
      </c>
      <c r="G337" s="2">
        <v>1.4999999999999999E-2</v>
      </c>
      <c r="H337" s="2" t="s">
        <v>14</v>
      </c>
      <c r="I337" s="2" t="s">
        <v>14</v>
      </c>
      <c r="J337" s="2" t="s">
        <v>14</v>
      </c>
      <c r="K337" s="2">
        <v>0</v>
      </c>
      <c r="L337" s="4">
        <v>0.03</v>
      </c>
    </row>
    <row r="338" spans="1:12" x14ac:dyDescent="0.25">
      <c r="A338" s="5">
        <v>45383</v>
      </c>
      <c r="B338" s="1" t="s">
        <v>15</v>
      </c>
      <c r="C338" s="1" t="s">
        <v>17</v>
      </c>
      <c r="D338" s="2">
        <v>3.9399999999999998E-2</v>
      </c>
      <c r="E338" s="3">
        <v>1</v>
      </c>
      <c r="F338" s="2" t="s">
        <v>14</v>
      </c>
      <c r="G338" s="2">
        <v>0</v>
      </c>
      <c r="H338" s="2" t="s">
        <v>14</v>
      </c>
      <c r="I338" s="2">
        <v>0.08</v>
      </c>
      <c r="J338" s="2" t="s">
        <v>14</v>
      </c>
      <c r="K338" s="2">
        <v>0</v>
      </c>
      <c r="L338" s="4">
        <v>0.03</v>
      </c>
    </row>
    <row r="339" spans="1:12" x14ac:dyDescent="0.25">
      <c r="A339" s="5">
        <v>45383</v>
      </c>
      <c r="B339" s="1" t="s">
        <v>15</v>
      </c>
      <c r="C339" s="1" t="s">
        <v>18</v>
      </c>
      <c r="D339" s="2">
        <v>5.4300000000000001E-2</v>
      </c>
      <c r="E339" s="3">
        <v>1</v>
      </c>
      <c r="F339" s="2" t="s">
        <v>14</v>
      </c>
      <c r="G339" s="2">
        <v>0</v>
      </c>
      <c r="H339" s="2">
        <v>7.4999999999999997E-2</v>
      </c>
      <c r="I339" s="2" t="s">
        <v>14</v>
      </c>
      <c r="J339" s="2" t="s">
        <v>14</v>
      </c>
      <c r="K339" s="2">
        <v>0</v>
      </c>
      <c r="L339" s="4">
        <v>0.03</v>
      </c>
    </row>
    <row r="340" spans="1:12" x14ac:dyDescent="0.25">
      <c r="A340" s="5">
        <v>45383</v>
      </c>
      <c r="B340" s="1" t="s">
        <v>19</v>
      </c>
      <c r="C340" s="1" t="s">
        <v>13</v>
      </c>
      <c r="D340" s="2">
        <v>4.0599999999999997E-2</v>
      </c>
      <c r="E340" s="3">
        <v>1</v>
      </c>
      <c r="F340" s="2">
        <v>7.2499999999999995E-2</v>
      </c>
      <c r="G340" s="2">
        <v>0</v>
      </c>
      <c r="H340" s="2" t="s">
        <v>14</v>
      </c>
      <c r="I340" s="2" t="s">
        <v>14</v>
      </c>
      <c r="J340" s="2" t="s">
        <v>14</v>
      </c>
      <c r="K340" s="2">
        <v>0</v>
      </c>
      <c r="L340" s="4">
        <v>0.03</v>
      </c>
    </row>
    <row r="341" spans="1:12" x14ac:dyDescent="0.25">
      <c r="A341" s="5">
        <v>45383</v>
      </c>
      <c r="B341" s="1" t="s">
        <v>19</v>
      </c>
      <c r="C341" s="1" t="s">
        <v>16</v>
      </c>
      <c r="D341" s="2">
        <v>2.52E-2</v>
      </c>
      <c r="E341" s="3">
        <v>1</v>
      </c>
      <c r="F341" s="2">
        <v>0.06</v>
      </c>
      <c r="G341" s="2">
        <v>1.4999999999999999E-2</v>
      </c>
      <c r="H341" s="2" t="s">
        <v>14</v>
      </c>
      <c r="I341" s="2" t="s">
        <v>14</v>
      </c>
      <c r="J341" s="2" t="s">
        <v>14</v>
      </c>
      <c r="K341" s="2">
        <v>0</v>
      </c>
      <c r="L341" s="4">
        <v>0.03</v>
      </c>
    </row>
    <row r="342" spans="1:12" x14ac:dyDescent="0.25">
      <c r="A342" s="5">
        <v>45383</v>
      </c>
      <c r="B342" s="1" t="s">
        <v>19</v>
      </c>
      <c r="C342" s="1" t="s">
        <v>17</v>
      </c>
      <c r="D342" s="2">
        <v>3.5099999999999999E-2</v>
      </c>
      <c r="E342" s="3">
        <v>1</v>
      </c>
      <c r="F342" s="2" t="s">
        <v>14</v>
      </c>
      <c r="G342" s="2">
        <v>0</v>
      </c>
      <c r="H342" s="2" t="s">
        <v>14</v>
      </c>
      <c r="I342" s="2">
        <v>0.09</v>
      </c>
      <c r="J342" s="2" t="s">
        <v>14</v>
      </c>
      <c r="K342" s="2">
        <v>0</v>
      </c>
      <c r="L342" s="4">
        <v>0.03</v>
      </c>
    </row>
    <row r="343" spans="1:12" x14ac:dyDescent="0.25">
      <c r="A343" s="5">
        <v>45383</v>
      </c>
      <c r="B343" s="1" t="s">
        <v>19</v>
      </c>
      <c r="C343" s="1" t="s">
        <v>18</v>
      </c>
      <c r="D343" s="2">
        <v>4.3499999999999997E-2</v>
      </c>
      <c r="E343" s="3">
        <v>1</v>
      </c>
      <c r="F343" s="2" t="s">
        <v>14</v>
      </c>
      <c r="G343" s="2">
        <v>0</v>
      </c>
      <c r="H343" s="2">
        <v>0.06</v>
      </c>
      <c r="I343" s="2" t="s">
        <v>14</v>
      </c>
      <c r="J343" s="2" t="s">
        <v>14</v>
      </c>
      <c r="K343" s="2">
        <v>0</v>
      </c>
      <c r="L343" s="4">
        <v>0.03</v>
      </c>
    </row>
    <row r="344" spans="1:12" x14ac:dyDescent="0.25">
      <c r="A344" s="5">
        <v>45383</v>
      </c>
      <c r="B344" s="1" t="s">
        <v>20</v>
      </c>
      <c r="C344" s="1" t="s">
        <v>13</v>
      </c>
      <c r="D344" s="2">
        <v>5.1299999999999998E-2</v>
      </c>
      <c r="E344" s="3">
        <v>1</v>
      </c>
      <c r="F344" s="2">
        <v>9.7500000000000003E-2</v>
      </c>
      <c r="G344" s="2">
        <v>0</v>
      </c>
      <c r="H344" s="2" t="s">
        <v>14</v>
      </c>
      <c r="I344" s="2" t="s">
        <v>14</v>
      </c>
      <c r="J344" s="2" t="s">
        <v>14</v>
      </c>
      <c r="K344" s="2">
        <v>0</v>
      </c>
      <c r="L344" s="4">
        <v>0.03</v>
      </c>
    </row>
    <row r="345" spans="1:12" x14ac:dyDescent="0.25">
      <c r="A345" s="5">
        <v>45383</v>
      </c>
      <c r="B345" s="1" t="s">
        <v>20</v>
      </c>
      <c r="C345" s="1" t="s">
        <v>17</v>
      </c>
      <c r="D345" s="2">
        <v>3.9399999999999998E-2</v>
      </c>
      <c r="E345" s="3">
        <v>1</v>
      </c>
      <c r="F345" s="2" t="s">
        <v>14</v>
      </c>
      <c r="G345" s="2">
        <v>0</v>
      </c>
      <c r="H345" s="2" t="s">
        <v>14</v>
      </c>
      <c r="I345" s="2">
        <v>0.08</v>
      </c>
      <c r="J345" s="2" t="s">
        <v>14</v>
      </c>
      <c r="K345" s="2">
        <v>0</v>
      </c>
      <c r="L345" s="4">
        <v>0.03</v>
      </c>
    </row>
    <row r="346" spans="1:12" x14ac:dyDescent="0.25">
      <c r="A346" s="5">
        <v>45383</v>
      </c>
      <c r="B346" s="1" t="s">
        <v>20</v>
      </c>
      <c r="C346" s="1" t="s">
        <v>21</v>
      </c>
      <c r="D346" s="2">
        <v>5.8999999999999997E-2</v>
      </c>
      <c r="E346" s="3">
        <v>1</v>
      </c>
      <c r="F346" s="2">
        <v>0.12</v>
      </c>
      <c r="G346" s="2">
        <v>0</v>
      </c>
      <c r="H346" s="2" t="s">
        <v>14</v>
      </c>
      <c r="I346" s="2" t="s">
        <v>14</v>
      </c>
      <c r="J346" s="2">
        <v>4.1500000000000002E-2</v>
      </c>
      <c r="K346" s="2">
        <v>0.6</v>
      </c>
      <c r="L346" s="4">
        <v>0.03</v>
      </c>
    </row>
    <row r="347" spans="1:12" x14ac:dyDescent="0.25">
      <c r="A347" s="5">
        <v>45383</v>
      </c>
      <c r="B347" s="1" t="s">
        <v>20</v>
      </c>
      <c r="C347" s="1" t="s">
        <v>22</v>
      </c>
      <c r="D347" s="2">
        <v>5.8999999999999997E-2</v>
      </c>
      <c r="E347" s="3">
        <v>1</v>
      </c>
      <c r="F347" s="2">
        <v>0.12</v>
      </c>
      <c r="G347" s="2">
        <v>0</v>
      </c>
      <c r="H347" s="2" t="s">
        <v>14</v>
      </c>
      <c r="I347" s="2" t="s">
        <v>14</v>
      </c>
      <c r="J347" s="2">
        <v>2.1499999999999998E-2</v>
      </c>
      <c r="K347" s="2">
        <v>0.24</v>
      </c>
      <c r="L347" s="4">
        <v>0.03</v>
      </c>
    </row>
    <row r="348" spans="1:12" x14ac:dyDescent="0.25">
      <c r="A348" s="5">
        <v>45383</v>
      </c>
      <c r="B348" s="1" t="s">
        <v>23</v>
      </c>
      <c r="C348" s="1" t="s">
        <v>24</v>
      </c>
      <c r="D348" s="2">
        <v>2.2745996675750044E-2</v>
      </c>
      <c r="E348" s="3">
        <v>2.4</v>
      </c>
      <c r="F348" s="2" t="s">
        <v>14</v>
      </c>
      <c r="G348" s="2">
        <v>0</v>
      </c>
      <c r="H348" s="2" t="s">
        <v>14</v>
      </c>
      <c r="I348" s="2" t="s">
        <v>14</v>
      </c>
      <c r="J348" s="2" t="s">
        <v>14</v>
      </c>
      <c r="K348" s="2">
        <v>0</v>
      </c>
      <c r="L348" s="4">
        <v>0.03</v>
      </c>
    </row>
    <row r="349" spans="1:12" x14ac:dyDescent="0.25">
      <c r="A349" s="5">
        <v>45383</v>
      </c>
      <c r="B349" s="1" t="s">
        <v>23</v>
      </c>
      <c r="C349" s="1" t="s">
        <v>25</v>
      </c>
      <c r="D349" s="2">
        <v>5.2016146638250778E-2</v>
      </c>
      <c r="E349" s="3">
        <v>1</v>
      </c>
      <c r="F349" s="2">
        <v>0.10249999999999999</v>
      </c>
      <c r="G349" s="2">
        <v>0</v>
      </c>
      <c r="H349" s="2" t="s">
        <v>14</v>
      </c>
      <c r="I349" s="2" t="s">
        <v>14</v>
      </c>
      <c r="J349" s="2" t="s">
        <v>14</v>
      </c>
      <c r="K349" s="2">
        <v>0</v>
      </c>
      <c r="L349" s="4">
        <v>0.03</v>
      </c>
    </row>
    <row r="350" spans="1:12" x14ac:dyDescent="0.25">
      <c r="A350" s="5">
        <v>45383</v>
      </c>
      <c r="B350" s="1" t="s">
        <v>23</v>
      </c>
      <c r="C350" s="1" t="s">
        <v>13</v>
      </c>
      <c r="D350" s="2">
        <v>5.3199999999999997E-2</v>
      </c>
      <c r="E350" s="3">
        <v>1</v>
      </c>
      <c r="F350" s="2">
        <v>0.10249999999999999</v>
      </c>
      <c r="G350" s="2">
        <v>0</v>
      </c>
      <c r="H350" s="2" t="s">
        <v>14</v>
      </c>
      <c r="I350" s="2" t="s">
        <v>14</v>
      </c>
      <c r="J350" s="2" t="s">
        <v>14</v>
      </c>
      <c r="K350" s="2">
        <v>0</v>
      </c>
      <c r="L350" s="4">
        <v>0.03</v>
      </c>
    </row>
    <row r="351" spans="1:12" x14ac:dyDescent="0.25">
      <c r="A351" s="5">
        <v>45383</v>
      </c>
      <c r="B351" s="1" t="s">
        <v>23</v>
      </c>
      <c r="C351" s="1" t="s">
        <v>17</v>
      </c>
      <c r="D351" s="2">
        <v>3.9399999999999998E-2</v>
      </c>
      <c r="E351" s="3">
        <v>1</v>
      </c>
      <c r="F351" s="2" t="s">
        <v>14</v>
      </c>
      <c r="G351" s="2">
        <v>0</v>
      </c>
      <c r="H351" s="2" t="s">
        <v>14</v>
      </c>
      <c r="I351" s="2">
        <v>0.08</v>
      </c>
      <c r="J351" s="2" t="s">
        <v>14</v>
      </c>
      <c r="K351" s="2">
        <v>0</v>
      </c>
      <c r="L351" s="4">
        <v>0.03</v>
      </c>
    </row>
    <row r="352" spans="1:12" x14ac:dyDescent="0.25">
      <c r="A352" s="5">
        <v>45383</v>
      </c>
      <c r="B352" s="1" t="s">
        <v>23</v>
      </c>
      <c r="C352" s="1" t="s">
        <v>21</v>
      </c>
      <c r="D352" s="2">
        <v>5.8999999999999997E-2</v>
      </c>
      <c r="E352" s="3">
        <v>1</v>
      </c>
      <c r="F352" s="2">
        <v>0.12</v>
      </c>
      <c r="G352" s="2">
        <v>0</v>
      </c>
      <c r="H352" s="2" t="s">
        <v>14</v>
      </c>
      <c r="I352" s="2" t="s">
        <v>14</v>
      </c>
      <c r="J352" s="2">
        <v>4.1500000000000002E-2</v>
      </c>
      <c r="K352" s="2">
        <v>0.6</v>
      </c>
      <c r="L352" s="4">
        <v>0.03</v>
      </c>
    </row>
    <row r="353" spans="1:12" x14ac:dyDescent="0.25">
      <c r="A353" s="5">
        <v>45383</v>
      </c>
      <c r="B353" s="1" t="s">
        <v>23</v>
      </c>
      <c r="C353" s="1" t="s">
        <v>22</v>
      </c>
      <c r="D353" s="2">
        <v>5.8999999999999997E-2</v>
      </c>
      <c r="E353" s="3">
        <v>1</v>
      </c>
      <c r="F353" s="2">
        <v>0.12</v>
      </c>
      <c r="G353" s="2">
        <v>0</v>
      </c>
      <c r="H353" s="2" t="s">
        <v>14</v>
      </c>
      <c r="I353" s="2" t="s">
        <v>14</v>
      </c>
      <c r="J353" s="2">
        <v>2.1499999999999998E-2</v>
      </c>
      <c r="K353" s="2">
        <v>0.24</v>
      </c>
      <c r="L353" s="4">
        <v>0.03</v>
      </c>
    </row>
    <row r="354" spans="1:12" x14ac:dyDescent="0.25">
      <c r="A354" s="5">
        <v>45383</v>
      </c>
      <c r="B354" s="1" t="s">
        <v>26</v>
      </c>
      <c r="C354" s="1" t="s">
        <v>24</v>
      </c>
      <c r="D354" s="2">
        <v>2.2745996675750044E-2</v>
      </c>
      <c r="E354" s="3">
        <v>2.4</v>
      </c>
      <c r="F354" s="2" t="s">
        <v>14</v>
      </c>
      <c r="G354" s="2">
        <v>0</v>
      </c>
      <c r="H354" s="2" t="s">
        <v>14</v>
      </c>
      <c r="I354" s="2" t="s">
        <v>14</v>
      </c>
      <c r="J354" s="2" t="s">
        <v>14</v>
      </c>
      <c r="K354" s="2">
        <v>0</v>
      </c>
      <c r="L354" s="4">
        <v>0.03</v>
      </c>
    </row>
    <row r="355" spans="1:12" x14ac:dyDescent="0.25">
      <c r="A355" s="5">
        <v>45383</v>
      </c>
      <c r="B355" s="1" t="s">
        <v>26</v>
      </c>
      <c r="C355" s="1" t="s">
        <v>25</v>
      </c>
      <c r="D355" s="2">
        <v>5.0999999999999997E-2</v>
      </c>
      <c r="E355" s="3">
        <v>1</v>
      </c>
      <c r="F355" s="2">
        <v>0.1</v>
      </c>
      <c r="G355" s="2">
        <v>0</v>
      </c>
      <c r="H355" s="2" t="s">
        <v>14</v>
      </c>
      <c r="I355" s="2" t="s">
        <v>14</v>
      </c>
      <c r="J355" s="2" t="s">
        <v>14</v>
      </c>
      <c r="K355" s="2">
        <v>0</v>
      </c>
      <c r="L355" s="4">
        <v>0.03</v>
      </c>
    </row>
    <row r="356" spans="1:12" x14ac:dyDescent="0.25">
      <c r="A356" s="5">
        <v>45383</v>
      </c>
      <c r="B356" s="1" t="s">
        <v>26</v>
      </c>
      <c r="C356" s="1" t="s">
        <v>13</v>
      </c>
      <c r="D356" s="2">
        <v>5.2299999999999999E-2</v>
      </c>
      <c r="E356" s="3">
        <v>1</v>
      </c>
      <c r="F356" s="2">
        <v>0.1</v>
      </c>
      <c r="G356" s="2">
        <v>0</v>
      </c>
      <c r="H356" s="2" t="s">
        <v>14</v>
      </c>
      <c r="I356" s="2" t="s">
        <v>14</v>
      </c>
      <c r="J356" s="2" t="s">
        <v>14</v>
      </c>
      <c r="K356" s="2">
        <v>0</v>
      </c>
      <c r="L356" s="4">
        <v>0.03</v>
      </c>
    </row>
    <row r="357" spans="1:12" x14ac:dyDescent="0.25">
      <c r="A357" s="5">
        <v>45383</v>
      </c>
      <c r="B357" s="1" t="s">
        <v>26</v>
      </c>
      <c r="C357" s="1" t="s">
        <v>17</v>
      </c>
      <c r="D357" s="2">
        <v>3.9399999999999998E-2</v>
      </c>
      <c r="E357" s="3">
        <v>1</v>
      </c>
      <c r="F357" s="2" t="s">
        <v>14</v>
      </c>
      <c r="G357" s="2">
        <v>0</v>
      </c>
      <c r="H357" s="2" t="s">
        <v>14</v>
      </c>
      <c r="I357" s="2">
        <v>0.08</v>
      </c>
      <c r="J357" s="2" t="s">
        <v>14</v>
      </c>
      <c r="K357" s="2">
        <v>0</v>
      </c>
      <c r="L357" s="4">
        <v>0.03</v>
      </c>
    </row>
    <row r="358" spans="1:12" x14ac:dyDescent="0.25">
      <c r="A358" s="5">
        <v>45383</v>
      </c>
      <c r="B358" s="1" t="s">
        <v>26</v>
      </c>
      <c r="C358" s="1" t="s">
        <v>21</v>
      </c>
      <c r="D358" s="2">
        <v>5.8999999999999997E-2</v>
      </c>
      <c r="E358" s="3">
        <v>1</v>
      </c>
      <c r="F358" s="2">
        <v>0.12</v>
      </c>
      <c r="G358" s="2">
        <v>0</v>
      </c>
      <c r="H358" s="2" t="s">
        <v>14</v>
      </c>
      <c r="I358" s="2" t="s">
        <v>14</v>
      </c>
      <c r="J358" s="2">
        <v>4.1500000000000002E-2</v>
      </c>
      <c r="K358" s="2">
        <v>0.6</v>
      </c>
      <c r="L358" s="4">
        <v>0.03</v>
      </c>
    </row>
    <row r="359" spans="1:12" x14ac:dyDescent="0.25">
      <c r="A359" s="5">
        <v>45383</v>
      </c>
      <c r="B359" s="1" t="s">
        <v>26</v>
      </c>
      <c r="C359" s="1" t="s">
        <v>22</v>
      </c>
      <c r="D359" s="2">
        <v>5.8999999999999997E-2</v>
      </c>
      <c r="E359" s="3">
        <v>1</v>
      </c>
      <c r="F359" s="2">
        <v>0.12</v>
      </c>
      <c r="G359" s="2">
        <v>0</v>
      </c>
      <c r="H359" s="2" t="s">
        <v>14</v>
      </c>
      <c r="I359" s="2" t="s">
        <v>14</v>
      </c>
      <c r="J359" s="2">
        <v>2.1499999999999998E-2</v>
      </c>
      <c r="K359" s="2">
        <v>0.24</v>
      </c>
      <c r="L359" s="4">
        <v>0.03</v>
      </c>
    </row>
    <row r="360" spans="1:12" x14ac:dyDescent="0.25">
      <c r="A360" s="5">
        <v>45383</v>
      </c>
      <c r="B360" s="1" t="s">
        <v>27</v>
      </c>
      <c r="C360" s="1" t="s">
        <v>13</v>
      </c>
      <c r="D360" s="2">
        <v>4.9310672553181646E-2</v>
      </c>
      <c r="E360" s="3">
        <v>1</v>
      </c>
      <c r="F360" s="2">
        <v>9.2499999999999999E-2</v>
      </c>
      <c r="G360" s="2">
        <v>0</v>
      </c>
      <c r="H360" s="2" t="s">
        <v>14</v>
      </c>
      <c r="I360" s="2" t="s">
        <v>14</v>
      </c>
      <c r="J360" s="2" t="s">
        <v>14</v>
      </c>
      <c r="K360" s="2">
        <v>0</v>
      </c>
      <c r="L360" s="4">
        <v>0.03</v>
      </c>
    </row>
    <row r="361" spans="1:12" x14ac:dyDescent="0.25">
      <c r="A361" s="5">
        <v>45383</v>
      </c>
      <c r="B361" s="1" t="s">
        <v>27</v>
      </c>
      <c r="C361" s="1" t="s">
        <v>17</v>
      </c>
      <c r="D361" s="2">
        <v>3.5111254980513616E-2</v>
      </c>
      <c r="E361" s="3">
        <v>1</v>
      </c>
      <c r="F361" s="2" t="s">
        <v>14</v>
      </c>
      <c r="G361" s="2">
        <v>0</v>
      </c>
      <c r="H361" s="2" t="s">
        <v>14</v>
      </c>
      <c r="I361" s="2">
        <v>0.09</v>
      </c>
      <c r="J361" s="2" t="s">
        <v>14</v>
      </c>
      <c r="K361" s="2">
        <v>0</v>
      </c>
      <c r="L361" s="4">
        <v>0.03</v>
      </c>
    </row>
    <row r="362" spans="1:12" x14ac:dyDescent="0.25">
      <c r="A362" s="5">
        <v>45383</v>
      </c>
      <c r="B362" s="1" t="s">
        <v>27</v>
      </c>
      <c r="C362" s="1" t="s">
        <v>24</v>
      </c>
      <c r="D362" s="2">
        <v>2.2745996675750044E-2</v>
      </c>
      <c r="E362" s="3">
        <v>2.2000000000000002</v>
      </c>
      <c r="F362" s="2" t="s">
        <v>14</v>
      </c>
      <c r="G362" s="2">
        <v>0</v>
      </c>
      <c r="H362" s="2" t="s">
        <v>14</v>
      </c>
      <c r="I362" s="2" t="s">
        <v>14</v>
      </c>
      <c r="J362" s="2" t="s">
        <v>14</v>
      </c>
      <c r="K362" s="2">
        <v>0</v>
      </c>
      <c r="L362" s="4">
        <v>0.03</v>
      </c>
    </row>
    <row r="363" spans="1:12" x14ac:dyDescent="0.25">
      <c r="A363" s="5">
        <v>45383</v>
      </c>
      <c r="B363" s="1" t="s">
        <v>27</v>
      </c>
      <c r="C363" s="1" t="s">
        <v>25</v>
      </c>
      <c r="D363" s="2">
        <v>4.7883511364729466E-2</v>
      </c>
      <c r="E363" s="3">
        <v>1</v>
      </c>
      <c r="F363" s="2">
        <v>9.2499999999999999E-2</v>
      </c>
      <c r="G363" s="2">
        <v>0</v>
      </c>
      <c r="H363" s="2" t="s">
        <v>14</v>
      </c>
      <c r="I363" s="2" t="s">
        <v>14</v>
      </c>
      <c r="J363" s="2" t="s">
        <v>14</v>
      </c>
      <c r="K363" s="2">
        <v>0</v>
      </c>
      <c r="L363" s="4">
        <v>0.03</v>
      </c>
    </row>
    <row r="364" spans="1:12" x14ac:dyDescent="0.25">
      <c r="A364" s="5">
        <v>45383</v>
      </c>
      <c r="B364" s="1" t="s">
        <v>28</v>
      </c>
      <c r="C364" s="1" t="s">
        <v>13</v>
      </c>
      <c r="D364" s="2">
        <v>4.7E-2</v>
      </c>
      <c r="E364" s="3">
        <v>1</v>
      </c>
      <c r="F364" s="2">
        <v>8.5000000000000006E-2</v>
      </c>
      <c r="G364" s="2">
        <v>0</v>
      </c>
      <c r="H364" s="2" t="s">
        <v>14</v>
      </c>
      <c r="I364" s="2" t="s">
        <v>14</v>
      </c>
      <c r="J364" s="2" t="s">
        <v>14</v>
      </c>
      <c r="K364" s="2">
        <v>0</v>
      </c>
      <c r="L364" s="4">
        <v>0.03</v>
      </c>
    </row>
    <row r="365" spans="1:12" x14ac:dyDescent="0.25">
      <c r="A365" s="5">
        <v>45383</v>
      </c>
      <c r="B365" s="1" t="s">
        <v>28</v>
      </c>
      <c r="C365" s="1" t="s">
        <v>16</v>
      </c>
      <c r="D365" s="2">
        <v>3.0499999999999999E-2</v>
      </c>
      <c r="E365" s="3">
        <v>1</v>
      </c>
      <c r="F365" s="2">
        <v>7.0000000000000007E-2</v>
      </c>
      <c r="G365" s="2">
        <v>1.4999999999999999E-2</v>
      </c>
      <c r="H365" s="2" t="s">
        <v>14</v>
      </c>
      <c r="I365" s="2" t="s">
        <v>14</v>
      </c>
      <c r="J365" s="2" t="s">
        <v>14</v>
      </c>
      <c r="K365" s="2">
        <v>0</v>
      </c>
      <c r="L365" s="4">
        <v>0.03</v>
      </c>
    </row>
    <row r="366" spans="1:12" x14ac:dyDescent="0.25">
      <c r="A366" s="5">
        <v>45383</v>
      </c>
      <c r="B366" s="1" t="s">
        <v>28</v>
      </c>
      <c r="C366" s="1" t="s">
        <v>17</v>
      </c>
      <c r="D366" s="2">
        <v>3.8800000000000001E-2</v>
      </c>
      <c r="E366" s="3">
        <v>1</v>
      </c>
      <c r="F366" s="2" t="s">
        <v>14</v>
      </c>
      <c r="G366" s="2">
        <v>0</v>
      </c>
      <c r="H366" s="2" t="s">
        <v>14</v>
      </c>
      <c r="I366" s="2">
        <v>7.7499999999999999E-2</v>
      </c>
      <c r="J366" s="2" t="s">
        <v>14</v>
      </c>
      <c r="K366" s="2">
        <v>0</v>
      </c>
      <c r="L366" s="4">
        <v>0.03</v>
      </c>
    </row>
    <row r="367" spans="1:12" x14ac:dyDescent="0.25">
      <c r="A367" s="5">
        <v>45383</v>
      </c>
      <c r="B367" s="1" t="s">
        <v>28</v>
      </c>
      <c r="C367" s="1" t="s">
        <v>18</v>
      </c>
      <c r="D367" s="2">
        <v>4.7100000000000003E-2</v>
      </c>
      <c r="E367" s="3">
        <v>1</v>
      </c>
      <c r="F367" s="2" t="s">
        <v>14</v>
      </c>
      <c r="G367" s="2">
        <v>0</v>
      </c>
      <c r="H367" s="2">
        <v>6.5000000000000002E-2</v>
      </c>
      <c r="I367" s="2" t="s">
        <v>14</v>
      </c>
      <c r="J367" s="2" t="s">
        <v>14</v>
      </c>
      <c r="K367" s="2">
        <v>0</v>
      </c>
      <c r="L367" s="4">
        <v>0.03</v>
      </c>
    </row>
    <row r="368" spans="1:12" x14ac:dyDescent="0.25">
      <c r="A368" s="5">
        <v>45383</v>
      </c>
      <c r="B368" s="1" t="s">
        <v>29</v>
      </c>
      <c r="C368" s="1" t="s">
        <v>13</v>
      </c>
      <c r="D368" s="2">
        <v>4.36E-2</v>
      </c>
      <c r="E368" s="3">
        <v>1</v>
      </c>
      <c r="F368" s="2">
        <v>7.7499999999999999E-2</v>
      </c>
      <c r="G368" s="2">
        <v>0</v>
      </c>
      <c r="H368" s="2" t="s">
        <v>14</v>
      </c>
      <c r="I368" s="2" t="s">
        <v>14</v>
      </c>
      <c r="J368" s="2" t="s">
        <v>14</v>
      </c>
      <c r="K368" s="2">
        <v>0</v>
      </c>
      <c r="L368" s="4">
        <v>0.03</v>
      </c>
    </row>
    <row r="369" spans="1:12" x14ac:dyDescent="0.25">
      <c r="A369" s="5">
        <v>45383</v>
      </c>
      <c r="B369" s="1" t="s">
        <v>29</v>
      </c>
      <c r="C369" s="1" t="s">
        <v>16</v>
      </c>
      <c r="D369" s="2">
        <v>2.4400000000000002E-2</v>
      </c>
      <c r="E369" s="3">
        <v>1</v>
      </c>
      <c r="F369" s="2">
        <v>5.7500000000000002E-2</v>
      </c>
      <c r="G369" s="2">
        <v>1.4999999999999999E-2</v>
      </c>
      <c r="H369" s="2" t="s">
        <v>14</v>
      </c>
      <c r="I369" s="2" t="s">
        <v>14</v>
      </c>
      <c r="J369" s="2" t="s">
        <v>14</v>
      </c>
      <c r="K369" s="2">
        <v>0</v>
      </c>
      <c r="L369" s="4">
        <v>0.03</v>
      </c>
    </row>
    <row r="370" spans="1:12" x14ac:dyDescent="0.25">
      <c r="A370" s="5">
        <v>45383</v>
      </c>
      <c r="B370" s="1" t="s">
        <v>29</v>
      </c>
      <c r="C370" s="1" t="s">
        <v>17</v>
      </c>
      <c r="D370" s="2">
        <v>3.4599999999999999E-2</v>
      </c>
      <c r="E370" s="3">
        <v>1</v>
      </c>
      <c r="F370" s="2" t="s">
        <v>14</v>
      </c>
      <c r="G370" s="2">
        <v>0</v>
      </c>
      <c r="H370" s="2" t="s">
        <v>14</v>
      </c>
      <c r="I370" s="2">
        <v>8.6999999999999994E-2</v>
      </c>
      <c r="J370" s="2" t="s">
        <v>14</v>
      </c>
      <c r="K370" s="2">
        <v>0</v>
      </c>
      <c r="L370" s="4">
        <v>0.03</v>
      </c>
    </row>
    <row r="371" spans="1:12" x14ac:dyDescent="0.25">
      <c r="A371" s="5">
        <v>45383</v>
      </c>
      <c r="B371" s="1" t="s">
        <v>29</v>
      </c>
      <c r="C371" s="1" t="s">
        <v>18</v>
      </c>
      <c r="D371" s="2">
        <v>4.1300000000000003E-2</v>
      </c>
      <c r="E371" s="3">
        <v>1</v>
      </c>
      <c r="F371" s="2" t="s">
        <v>14</v>
      </c>
      <c r="G371" s="2">
        <v>0</v>
      </c>
      <c r="H371" s="2">
        <v>5.7000000000000002E-2</v>
      </c>
      <c r="I371" s="2" t="s">
        <v>14</v>
      </c>
      <c r="J371" s="2" t="s">
        <v>14</v>
      </c>
      <c r="K371" s="2">
        <v>0</v>
      </c>
      <c r="L371" s="4">
        <v>0.03</v>
      </c>
    </row>
    <row r="372" spans="1:12" x14ac:dyDescent="0.25">
      <c r="A372" s="5">
        <v>45413</v>
      </c>
      <c r="B372" s="1" t="s">
        <v>12</v>
      </c>
      <c r="C372" s="1" t="s">
        <v>13</v>
      </c>
      <c r="D372" s="2">
        <v>5.1900000000000002E-2</v>
      </c>
      <c r="E372" s="3">
        <v>1</v>
      </c>
      <c r="F372" s="2">
        <v>9.7500000000000003E-2</v>
      </c>
      <c r="G372" s="2">
        <v>0</v>
      </c>
      <c r="H372" s="2" t="s">
        <v>14</v>
      </c>
      <c r="I372" s="2" t="s">
        <v>14</v>
      </c>
      <c r="J372" s="2" t="s">
        <v>14</v>
      </c>
      <c r="K372" s="2">
        <v>0</v>
      </c>
      <c r="L372" s="4">
        <v>0.03</v>
      </c>
    </row>
    <row r="373" spans="1:12" x14ac:dyDescent="0.25">
      <c r="A373" s="5">
        <v>45413</v>
      </c>
      <c r="B373" s="1" t="s">
        <v>15</v>
      </c>
      <c r="C373" s="1" t="s">
        <v>13</v>
      </c>
      <c r="D373" s="2">
        <v>5.1900000000000002E-2</v>
      </c>
      <c r="E373" s="3">
        <v>1</v>
      </c>
      <c r="F373" s="2">
        <v>9.7500000000000003E-2</v>
      </c>
      <c r="G373" s="2">
        <v>0</v>
      </c>
      <c r="H373" s="2" t="s">
        <v>14</v>
      </c>
      <c r="I373" s="2" t="s">
        <v>14</v>
      </c>
      <c r="J373" s="2" t="s">
        <v>14</v>
      </c>
      <c r="K373" s="2">
        <v>0</v>
      </c>
      <c r="L373" s="4">
        <v>0.03</v>
      </c>
    </row>
    <row r="374" spans="1:12" x14ac:dyDescent="0.25">
      <c r="A374" s="5">
        <v>45413</v>
      </c>
      <c r="B374" s="1" t="s">
        <v>15</v>
      </c>
      <c r="C374" s="1" t="s">
        <v>16</v>
      </c>
      <c r="D374" s="2">
        <v>3.7100000000000001E-2</v>
      </c>
      <c r="E374" s="3">
        <v>1</v>
      </c>
      <c r="F374" s="2">
        <v>8.5000000000000006E-2</v>
      </c>
      <c r="G374" s="2">
        <v>1.4999999999999999E-2</v>
      </c>
      <c r="H374" s="2" t="s">
        <v>14</v>
      </c>
      <c r="I374" s="2" t="s">
        <v>14</v>
      </c>
      <c r="J374" s="2" t="s">
        <v>14</v>
      </c>
      <c r="K374" s="2">
        <v>0</v>
      </c>
      <c r="L374" s="4">
        <v>0.03</v>
      </c>
    </row>
    <row r="375" spans="1:12" x14ac:dyDescent="0.25">
      <c r="A375" s="5">
        <v>45413</v>
      </c>
      <c r="B375" s="1" t="s">
        <v>15</v>
      </c>
      <c r="C375" s="1" t="s">
        <v>17</v>
      </c>
      <c r="D375" s="2">
        <v>4.2799999999999998E-2</v>
      </c>
      <c r="E375" s="3">
        <v>1</v>
      </c>
      <c r="F375" s="2" t="s">
        <v>14</v>
      </c>
      <c r="G375" s="2">
        <v>0</v>
      </c>
      <c r="H375" s="2" t="s">
        <v>14</v>
      </c>
      <c r="I375" s="2">
        <v>0.08</v>
      </c>
      <c r="J375" s="2" t="s">
        <v>14</v>
      </c>
      <c r="K375" s="2">
        <v>0</v>
      </c>
      <c r="L375" s="4">
        <v>0.03</v>
      </c>
    </row>
    <row r="376" spans="1:12" x14ac:dyDescent="0.25">
      <c r="A376" s="5">
        <v>45413</v>
      </c>
      <c r="B376" s="1" t="s">
        <v>15</v>
      </c>
      <c r="C376" s="1" t="s">
        <v>18</v>
      </c>
      <c r="D376" s="2">
        <v>5.3900000000000003E-2</v>
      </c>
      <c r="E376" s="3">
        <v>1</v>
      </c>
      <c r="F376" s="2" t="s">
        <v>14</v>
      </c>
      <c r="G376" s="2">
        <v>0</v>
      </c>
      <c r="H376" s="2">
        <v>7.4999999999999997E-2</v>
      </c>
      <c r="I376" s="2" t="s">
        <v>14</v>
      </c>
      <c r="J376" s="2" t="s">
        <v>14</v>
      </c>
      <c r="K376" s="2">
        <v>0</v>
      </c>
      <c r="L376" s="4">
        <v>0.03</v>
      </c>
    </row>
    <row r="377" spans="1:12" x14ac:dyDescent="0.25">
      <c r="A377" s="5">
        <v>45413</v>
      </c>
      <c r="B377" s="1" t="s">
        <v>19</v>
      </c>
      <c r="C377" s="1" t="s">
        <v>13</v>
      </c>
      <c r="D377" s="2">
        <v>4.0899999999999999E-2</v>
      </c>
      <c r="E377" s="3">
        <v>1</v>
      </c>
      <c r="F377" s="2">
        <v>7.2499999999999995E-2</v>
      </c>
      <c r="G377" s="2">
        <v>0</v>
      </c>
      <c r="H377" s="2" t="s">
        <v>14</v>
      </c>
      <c r="I377" s="2" t="s">
        <v>14</v>
      </c>
      <c r="J377" s="2" t="s">
        <v>14</v>
      </c>
      <c r="K377" s="2">
        <v>0</v>
      </c>
      <c r="L377" s="4">
        <v>0.03</v>
      </c>
    </row>
    <row r="378" spans="1:12" x14ac:dyDescent="0.25">
      <c r="A378" s="5">
        <v>45413</v>
      </c>
      <c r="B378" s="1" t="s">
        <v>19</v>
      </c>
      <c r="C378" s="1" t="s">
        <v>16</v>
      </c>
      <c r="D378" s="2">
        <v>2.5399999999999999E-2</v>
      </c>
      <c r="E378" s="3">
        <v>1</v>
      </c>
      <c r="F378" s="2">
        <v>0.06</v>
      </c>
      <c r="G378" s="2">
        <v>1.4999999999999999E-2</v>
      </c>
      <c r="H378" s="2" t="s">
        <v>14</v>
      </c>
      <c r="I378" s="2" t="s">
        <v>14</v>
      </c>
      <c r="J378" s="2" t="s">
        <v>14</v>
      </c>
      <c r="K378" s="2">
        <v>0</v>
      </c>
      <c r="L378" s="4">
        <v>0.03</v>
      </c>
    </row>
    <row r="379" spans="1:12" x14ac:dyDescent="0.25">
      <c r="A379" s="5">
        <v>45413</v>
      </c>
      <c r="B379" s="1" t="s">
        <v>19</v>
      </c>
      <c r="C379" s="1" t="s">
        <v>17</v>
      </c>
      <c r="D379" s="2">
        <v>3.8399999999999997E-2</v>
      </c>
      <c r="E379" s="3">
        <v>1</v>
      </c>
      <c r="F379" s="2" t="s">
        <v>14</v>
      </c>
      <c r="G379" s="2">
        <v>0</v>
      </c>
      <c r="H379" s="2" t="s">
        <v>14</v>
      </c>
      <c r="I379" s="2">
        <v>0.09</v>
      </c>
      <c r="J379" s="2" t="s">
        <v>14</v>
      </c>
      <c r="K379" s="2">
        <v>0</v>
      </c>
      <c r="L379" s="4">
        <v>0.03</v>
      </c>
    </row>
    <row r="380" spans="1:12" x14ac:dyDescent="0.25">
      <c r="A380" s="5">
        <v>45413</v>
      </c>
      <c r="B380" s="1" t="s">
        <v>19</v>
      </c>
      <c r="C380" s="1" t="s">
        <v>18</v>
      </c>
      <c r="D380" s="2">
        <v>4.3099999999999999E-2</v>
      </c>
      <c r="E380" s="3">
        <v>1</v>
      </c>
      <c r="F380" s="2" t="s">
        <v>14</v>
      </c>
      <c r="G380" s="2">
        <v>0</v>
      </c>
      <c r="H380" s="2">
        <v>0.06</v>
      </c>
      <c r="I380" s="2" t="s">
        <v>14</v>
      </c>
      <c r="J380" s="2" t="s">
        <v>14</v>
      </c>
      <c r="K380" s="2">
        <v>0</v>
      </c>
      <c r="L380" s="4">
        <v>0.03</v>
      </c>
    </row>
    <row r="381" spans="1:12" x14ac:dyDescent="0.25">
      <c r="A381" s="5">
        <v>45413</v>
      </c>
      <c r="B381" s="1" t="s">
        <v>20</v>
      </c>
      <c r="C381" s="1" t="s">
        <v>13</v>
      </c>
      <c r="D381" s="2">
        <v>5.1900000000000002E-2</v>
      </c>
      <c r="E381" s="3">
        <v>1</v>
      </c>
      <c r="F381" s="2">
        <v>9.7500000000000003E-2</v>
      </c>
      <c r="G381" s="2">
        <v>0</v>
      </c>
      <c r="H381" s="2" t="s">
        <v>14</v>
      </c>
      <c r="I381" s="2" t="s">
        <v>14</v>
      </c>
      <c r="J381" s="2" t="s">
        <v>14</v>
      </c>
      <c r="K381" s="2">
        <v>0</v>
      </c>
      <c r="L381" s="4">
        <v>0.03</v>
      </c>
    </row>
    <row r="382" spans="1:12" x14ac:dyDescent="0.25">
      <c r="A382" s="5">
        <v>45413</v>
      </c>
      <c r="B382" s="1" t="s">
        <v>20</v>
      </c>
      <c r="C382" s="1" t="s">
        <v>17</v>
      </c>
      <c r="D382" s="2">
        <v>4.2799999999999998E-2</v>
      </c>
      <c r="E382" s="3">
        <v>1</v>
      </c>
      <c r="F382" s="2" t="s">
        <v>14</v>
      </c>
      <c r="G382" s="2">
        <v>0</v>
      </c>
      <c r="H382" s="2" t="s">
        <v>14</v>
      </c>
      <c r="I382" s="2">
        <v>0.08</v>
      </c>
      <c r="J382" s="2" t="s">
        <v>14</v>
      </c>
      <c r="K382" s="2">
        <v>0</v>
      </c>
      <c r="L382" s="4">
        <v>0.03</v>
      </c>
    </row>
    <row r="383" spans="1:12" x14ac:dyDescent="0.25">
      <c r="A383" s="5">
        <v>45413</v>
      </c>
      <c r="B383" s="1" t="s">
        <v>20</v>
      </c>
      <c r="C383" s="1" t="s">
        <v>21</v>
      </c>
      <c r="D383" s="2">
        <v>0.06</v>
      </c>
      <c r="E383" s="3">
        <v>1</v>
      </c>
      <c r="F383" s="2">
        <v>0.12</v>
      </c>
      <c r="G383" s="2">
        <v>0</v>
      </c>
      <c r="H383" s="2" t="s">
        <v>14</v>
      </c>
      <c r="I383" s="2" t="s">
        <v>14</v>
      </c>
      <c r="J383" s="2">
        <v>4.1500000000000002E-2</v>
      </c>
      <c r="K383" s="2">
        <v>0.6</v>
      </c>
      <c r="L383" s="4">
        <v>0.03</v>
      </c>
    </row>
    <row r="384" spans="1:12" x14ac:dyDescent="0.25">
      <c r="A384" s="5">
        <v>45413</v>
      </c>
      <c r="B384" s="1" t="s">
        <v>20</v>
      </c>
      <c r="C384" s="1" t="s">
        <v>22</v>
      </c>
      <c r="D384" s="2">
        <v>0.06</v>
      </c>
      <c r="E384" s="3">
        <v>1</v>
      </c>
      <c r="F384" s="2">
        <v>0.12</v>
      </c>
      <c r="G384" s="2">
        <v>0</v>
      </c>
      <c r="H384" s="2" t="s">
        <v>14</v>
      </c>
      <c r="I384" s="2" t="s">
        <v>14</v>
      </c>
      <c r="J384" s="2">
        <v>2.1499999999999998E-2</v>
      </c>
      <c r="K384" s="2">
        <v>0.24</v>
      </c>
      <c r="L384" s="4">
        <v>0.03</v>
      </c>
    </row>
    <row r="385" spans="1:12" x14ac:dyDescent="0.25">
      <c r="A385" s="5">
        <v>45413</v>
      </c>
      <c r="B385" s="1" t="s">
        <v>23</v>
      </c>
      <c r="C385" s="1" t="s">
        <v>24</v>
      </c>
      <c r="D385" s="2">
        <v>2.2541996548866097E-2</v>
      </c>
      <c r="E385" s="3">
        <v>2.4</v>
      </c>
      <c r="F385" s="2" t="s">
        <v>14</v>
      </c>
      <c r="G385" s="2">
        <v>0</v>
      </c>
      <c r="H385" s="2" t="s">
        <v>14</v>
      </c>
      <c r="I385" s="2" t="s">
        <v>14</v>
      </c>
      <c r="J385" s="2" t="s">
        <v>14</v>
      </c>
      <c r="K385" s="2">
        <v>0</v>
      </c>
      <c r="L385" s="4">
        <v>0.03</v>
      </c>
    </row>
    <row r="386" spans="1:12" x14ac:dyDescent="0.25">
      <c r="A386" s="5">
        <v>45413</v>
      </c>
      <c r="B386" s="1" t="s">
        <v>23</v>
      </c>
      <c r="C386" s="1" t="s">
        <v>25</v>
      </c>
      <c r="D386" s="2">
        <v>5.3272292353493948E-2</v>
      </c>
      <c r="E386" s="3">
        <v>1</v>
      </c>
      <c r="F386" s="2">
        <v>0.10249999999999999</v>
      </c>
      <c r="G386" s="2">
        <v>0</v>
      </c>
      <c r="H386" s="2" t="s">
        <v>14</v>
      </c>
      <c r="I386" s="2" t="s">
        <v>14</v>
      </c>
      <c r="J386" s="2" t="s">
        <v>14</v>
      </c>
      <c r="K386" s="2">
        <v>0</v>
      </c>
      <c r="L386" s="4">
        <v>0.03</v>
      </c>
    </row>
    <row r="387" spans="1:12" x14ac:dyDescent="0.25">
      <c r="A387" s="5">
        <v>45413</v>
      </c>
      <c r="B387" s="1" t="s">
        <v>23</v>
      </c>
      <c r="C387" s="1" t="s">
        <v>13</v>
      </c>
      <c r="D387" s="2">
        <v>5.4800000000000001E-2</v>
      </c>
      <c r="E387" s="3">
        <v>1</v>
      </c>
      <c r="F387" s="2">
        <v>0.10249999999999999</v>
      </c>
      <c r="G387" s="2">
        <v>0</v>
      </c>
      <c r="H387" s="2" t="s">
        <v>14</v>
      </c>
      <c r="I387" s="2" t="s">
        <v>14</v>
      </c>
      <c r="J387" s="2" t="s">
        <v>14</v>
      </c>
      <c r="K387" s="2">
        <v>0</v>
      </c>
      <c r="L387" s="4">
        <v>0.03</v>
      </c>
    </row>
    <row r="388" spans="1:12" x14ac:dyDescent="0.25">
      <c r="A388" s="5">
        <v>45413</v>
      </c>
      <c r="B388" s="1" t="s">
        <v>23</v>
      </c>
      <c r="C388" s="1" t="s">
        <v>17</v>
      </c>
      <c r="D388" s="2">
        <v>4.2799999999999998E-2</v>
      </c>
      <c r="E388" s="3">
        <v>1</v>
      </c>
      <c r="F388" s="2" t="s">
        <v>14</v>
      </c>
      <c r="G388" s="2">
        <v>0</v>
      </c>
      <c r="H388" s="2" t="s">
        <v>14</v>
      </c>
      <c r="I388" s="2">
        <v>0.08</v>
      </c>
      <c r="J388" s="2" t="s">
        <v>14</v>
      </c>
      <c r="K388" s="2">
        <v>0</v>
      </c>
      <c r="L388" s="4">
        <v>0.03</v>
      </c>
    </row>
    <row r="389" spans="1:12" x14ac:dyDescent="0.25">
      <c r="A389" s="5">
        <v>45413</v>
      </c>
      <c r="B389" s="1" t="s">
        <v>23</v>
      </c>
      <c r="C389" s="1" t="s">
        <v>21</v>
      </c>
      <c r="D389" s="2">
        <v>0.06</v>
      </c>
      <c r="E389" s="3">
        <v>1</v>
      </c>
      <c r="F389" s="2">
        <v>0.12</v>
      </c>
      <c r="G389" s="2">
        <v>0</v>
      </c>
      <c r="H389" s="2" t="s">
        <v>14</v>
      </c>
      <c r="I389" s="2" t="s">
        <v>14</v>
      </c>
      <c r="J389" s="2">
        <v>4.1500000000000002E-2</v>
      </c>
      <c r="K389" s="2">
        <v>0.6</v>
      </c>
      <c r="L389" s="4">
        <v>0.03</v>
      </c>
    </row>
    <row r="390" spans="1:12" x14ac:dyDescent="0.25">
      <c r="A390" s="5">
        <v>45413</v>
      </c>
      <c r="B390" s="1" t="s">
        <v>23</v>
      </c>
      <c r="C390" s="1" t="s">
        <v>22</v>
      </c>
      <c r="D390" s="2">
        <v>0.06</v>
      </c>
      <c r="E390" s="3">
        <v>1</v>
      </c>
      <c r="F390" s="2">
        <v>0.12</v>
      </c>
      <c r="G390" s="2">
        <v>0</v>
      </c>
      <c r="H390" s="2" t="s">
        <v>14</v>
      </c>
      <c r="I390" s="2" t="s">
        <v>14</v>
      </c>
      <c r="J390" s="2">
        <v>2.1499999999999998E-2</v>
      </c>
      <c r="K390" s="2">
        <v>0.24</v>
      </c>
      <c r="L390" s="4">
        <v>0.03</v>
      </c>
    </row>
    <row r="391" spans="1:12" x14ac:dyDescent="0.25">
      <c r="A391" s="5">
        <v>45413</v>
      </c>
      <c r="B391" s="1" t="s">
        <v>26</v>
      </c>
      <c r="C391" s="1" t="s">
        <v>24</v>
      </c>
      <c r="D391" s="2">
        <v>2.2541996548866097E-2</v>
      </c>
      <c r="E391" s="3">
        <v>2.4</v>
      </c>
      <c r="F391" s="2" t="s">
        <v>14</v>
      </c>
      <c r="G391" s="2">
        <v>0</v>
      </c>
      <c r="H391" s="2" t="s">
        <v>14</v>
      </c>
      <c r="I391" s="2" t="s">
        <v>14</v>
      </c>
      <c r="J391" s="2" t="s">
        <v>14</v>
      </c>
      <c r="K391" s="2">
        <v>0</v>
      </c>
      <c r="L391" s="4">
        <v>0.03</v>
      </c>
    </row>
    <row r="392" spans="1:12" x14ac:dyDescent="0.25">
      <c r="A392" s="5">
        <v>45413</v>
      </c>
      <c r="B392" s="1" t="s">
        <v>26</v>
      </c>
      <c r="C392" s="1" t="s">
        <v>25</v>
      </c>
      <c r="D392" s="2">
        <v>5.33E-2</v>
      </c>
      <c r="E392" s="3">
        <v>1</v>
      </c>
      <c r="F392" s="2">
        <v>0.1</v>
      </c>
      <c r="G392" s="2">
        <v>0</v>
      </c>
      <c r="H392" s="2" t="s">
        <v>14</v>
      </c>
      <c r="I392" s="2" t="s">
        <v>14</v>
      </c>
      <c r="J392" s="2" t="s">
        <v>14</v>
      </c>
      <c r="K392" s="2">
        <v>0</v>
      </c>
      <c r="L392" s="4">
        <v>0.03</v>
      </c>
    </row>
    <row r="393" spans="1:12" x14ac:dyDescent="0.25">
      <c r="A393" s="5">
        <v>45413</v>
      </c>
      <c r="B393" s="1" t="s">
        <v>26</v>
      </c>
      <c r="C393" s="1" t="s">
        <v>13</v>
      </c>
      <c r="D393" s="2">
        <v>5.4800000000000001E-2</v>
      </c>
      <c r="E393" s="3">
        <v>1</v>
      </c>
      <c r="F393" s="2">
        <v>0.1</v>
      </c>
      <c r="G393" s="2">
        <v>0</v>
      </c>
      <c r="H393" s="2" t="s">
        <v>14</v>
      </c>
      <c r="I393" s="2" t="s">
        <v>14</v>
      </c>
      <c r="J393" s="2" t="s">
        <v>14</v>
      </c>
      <c r="K393" s="2">
        <v>0</v>
      </c>
      <c r="L393" s="4">
        <v>0.03</v>
      </c>
    </row>
    <row r="394" spans="1:12" x14ac:dyDescent="0.25">
      <c r="A394" s="5">
        <v>45413</v>
      </c>
      <c r="B394" s="1" t="s">
        <v>26</v>
      </c>
      <c r="C394" s="1" t="s">
        <v>17</v>
      </c>
      <c r="D394" s="2">
        <v>4.2799999999999998E-2</v>
      </c>
      <c r="E394" s="3">
        <v>1</v>
      </c>
      <c r="F394" s="2" t="s">
        <v>14</v>
      </c>
      <c r="G394" s="2">
        <v>0</v>
      </c>
      <c r="H394" s="2" t="s">
        <v>14</v>
      </c>
      <c r="I394" s="2">
        <v>0.08</v>
      </c>
      <c r="J394" s="2" t="s">
        <v>14</v>
      </c>
      <c r="K394" s="2">
        <v>0</v>
      </c>
      <c r="L394" s="4">
        <v>0.03</v>
      </c>
    </row>
    <row r="395" spans="1:12" x14ac:dyDescent="0.25">
      <c r="A395" s="5">
        <v>45413</v>
      </c>
      <c r="B395" s="1" t="s">
        <v>26</v>
      </c>
      <c r="C395" s="1" t="s">
        <v>21</v>
      </c>
      <c r="D395" s="2">
        <v>0.06</v>
      </c>
      <c r="E395" s="3">
        <v>1</v>
      </c>
      <c r="F395" s="2">
        <v>0.12</v>
      </c>
      <c r="G395" s="2">
        <v>0</v>
      </c>
      <c r="H395" s="2" t="s">
        <v>14</v>
      </c>
      <c r="I395" s="2" t="s">
        <v>14</v>
      </c>
      <c r="J395" s="2">
        <v>4.1500000000000002E-2</v>
      </c>
      <c r="K395" s="2">
        <v>0.6</v>
      </c>
      <c r="L395" s="4">
        <v>0.03</v>
      </c>
    </row>
    <row r="396" spans="1:12" x14ac:dyDescent="0.25">
      <c r="A396" s="5">
        <v>45413</v>
      </c>
      <c r="B396" s="1" t="s">
        <v>26</v>
      </c>
      <c r="C396" s="1" t="s">
        <v>22</v>
      </c>
      <c r="D396" s="2">
        <v>0.06</v>
      </c>
      <c r="E396" s="3">
        <v>1</v>
      </c>
      <c r="F396" s="2">
        <v>0.12</v>
      </c>
      <c r="G396" s="2">
        <v>0</v>
      </c>
      <c r="H396" s="2" t="s">
        <v>14</v>
      </c>
      <c r="I396" s="2" t="s">
        <v>14</v>
      </c>
      <c r="J396" s="2">
        <v>2.1499999999999998E-2</v>
      </c>
      <c r="K396" s="2">
        <v>0.24</v>
      </c>
      <c r="L396" s="4">
        <v>0.03</v>
      </c>
    </row>
    <row r="397" spans="1:12" x14ac:dyDescent="0.25">
      <c r="A397" s="5">
        <v>45413</v>
      </c>
      <c r="B397" s="1" t="s">
        <v>27</v>
      </c>
      <c r="C397" s="1" t="s">
        <v>13</v>
      </c>
      <c r="D397" s="2">
        <v>4.9804453073212039E-2</v>
      </c>
      <c r="E397" s="3">
        <v>1</v>
      </c>
      <c r="F397" s="2">
        <v>9.2499999999999999E-2</v>
      </c>
      <c r="G397" s="2">
        <v>0</v>
      </c>
      <c r="H397" s="2" t="s">
        <v>14</v>
      </c>
      <c r="I397" s="2" t="s">
        <v>14</v>
      </c>
      <c r="J397" s="2" t="s">
        <v>14</v>
      </c>
      <c r="K397" s="2">
        <v>0</v>
      </c>
      <c r="L397" s="4">
        <v>0.03</v>
      </c>
    </row>
    <row r="398" spans="1:12" x14ac:dyDescent="0.25">
      <c r="A398" s="5">
        <v>45413</v>
      </c>
      <c r="B398" s="1" t="s">
        <v>27</v>
      </c>
      <c r="C398" s="1" t="s">
        <v>17</v>
      </c>
      <c r="D398" s="2">
        <v>3.8357234483836308E-2</v>
      </c>
      <c r="E398" s="3">
        <v>1</v>
      </c>
      <c r="F398" s="2" t="s">
        <v>14</v>
      </c>
      <c r="G398" s="2">
        <v>0</v>
      </c>
      <c r="H398" s="2" t="s">
        <v>14</v>
      </c>
      <c r="I398" s="2">
        <v>0.09</v>
      </c>
      <c r="J398" s="2" t="s">
        <v>14</v>
      </c>
      <c r="K398" s="2">
        <v>0</v>
      </c>
      <c r="L398" s="4">
        <v>0.03</v>
      </c>
    </row>
    <row r="399" spans="1:12" x14ac:dyDescent="0.25">
      <c r="A399" s="5">
        <v>45413</v>
      </c>
      <c r="B399" s="1" t="s">
        <v>27</v>
      </c>
      <c r="C399" s="1" t="s">
        <v>24</v>
      </c>
      <c r="D399" s="2">
        <v>2.2541996548866097E-2</v>
      </c>
      <c r="E399" s="3">
        <v>2.2000000000000002</v>
      </c>
      <c r="F399" s="2" t="s">
        <v>14</v>
      </c>
      <c r="G399" s="2">
        <v>0</v>
      </c>
      <c r="H399" s="2" t="s">
        <v>14</v>
      </c>
      <c r="I399" s="2" t="s">
        <v>14</v>
      </c>
      <c r="J399" s="2" t="s">
        <v>14</v>
      </c>
      <c r="K399" s="2">
        <v>0</v>
      </c>
      <c r="L399" s="4">
        <v>0.03</v>
      </c>
    </row>
    <row r="400" spans="1:12" x14ac:dyDescent="0.25">
      <c r="A400" s="5">
        <v>45413</v>
      </c>
      <c r="B400" s="1" t="s">
        <v>27</v>
      </c>
      <c r="C400" s="1" t="s">
        <v>25</v>
      </c>
      <c r="D400" s="2">
        <v>4.809033878039537E-2</v>
      </c>
      <c r="E400" s="3">
        <v>1</v>
      </c>
      <c r="F400" s="2">
        <v>9.2499999999999999E-2</v>
      </c>
      <c r="G400" s="2">
        <v>0</v>
      </c>
      <c r="H400" s="2" t="s">
        <v>14</v>
      </c>
      <c r="I400" s="2" t="s">
        <v>14</v>
      </c>
      <c r="J400" s="2" t="s">
        <v>14</v>
      </c>
      <c r="K400" s="2">
        <v>0</v>
      </c>
      <c r="L400" s="4">
        <v>0.03</v>
      </c>
    </row>
    <row r="401" spans="1:12" x14ac:dyDescent="0.25">
      <c r="A401" s="5">
        <v>45413</v>
      </c>
      <c r="B401" s="1" t="s">
        <v>28</v>
      </c>
      <c r="C401" s="1" t="s">
        <v>13</v>
      </c>
      <c r="D401" s="2">
        <v>4.7E-2</v>
      </c>
      <c r="E401" s="3">
        <v>1</v>
      </c>
      <c r="F401" s="2">
        <v>8.5000000000000006E-2</v>
      </c>
      <c r="G401" s="2">
        <v>0</v>
      </c>
      <c r="H401" s="2" t="s">
        <v>14</v>
      </c>
      <c r="I401" s="2" t="s">
        <v>14</v>
      </c>
      <c r="J401" s="2" t="s">
        <v>14</v>
      </c>
      <c r="K401" s="2">
        <v>0</v>
      </c>
      <c r="L401" s="4">
        <v>0.03</v>
      </c>
    </row>
    <row r="402" spans="1:12" x14ac:dyDescent="0.25">
      <c r="A402" s="5">
        <v>45413</v>
      </c>
      <c r="B402" s="1" t="s">
        <v>28</v>
      </c>
      <c r="C402" s="1" t="s">
        <v>16</v>
      </c>
      <c r="D402" s="2">
        <v>3.0499999999999999E-2</v>
      </c>
      <c r="E402" s="3">
        <v>1</v>
      </c>
      <c r="F402" s="2">
        <v>7.0000000000000007E-2</v>
      </c>
      <c r="G402" s="2">
        <v>1.4999999999999999E-2</v>
      </c>
      <c r="H402" s="2" t="s">
        <v>14</v>
      </c>
      <c r="I402" s="2" t="s">
        <v>14</v>
      </c>
      <c r="J402" s="2" t="s">
        <v>14</v>
      </c>
      <c r="K402" s="2">
        <v>0</v>
      </c>
      <c r="L402" s="4">
        <v>0.03</v>
      </c>
    </row>
    <row r="403" spans="1:12" x14ac:dyDescent="0.25">
      <c r="A403" s="5">
        <v>45413</v>
      </c>
      <c r="B403" s="1" t="s">
        <v>28</v>
      </c>
      <c r="C403" s="1" t="s">
        <v>17</v>
      </c>
      <c r="D403" s="2">
        <v>3.8800000000000001E-2</v>
      </c>
      <c r="E403" s="3">
        <v>1</v>
      </c>
      <c r="F403" s="2" t="s">
        <v>14</v>
      </c>
      <c r="G403" s="2">
        <v>0</v>
      </c>
      <c r="H403" s="2" t="s">
        <v>14</v>
      </c>
      <c r="I403" s="2">
        <v>7.7499999999999999E-2</v>
      </c>
      <c r="J403" s="2" t="s">
        <v>14</v>
      </c>
      <c r="K403" s="2">
        <v>0</v>
      </c>
      <c r="L403" s="4">
        <v>0.03</v>
      </c>
    </row>
    <row r="404" spans="1:12" x14ac:dyDescent="0.25">
      <c r="A404" s="5">
        <v>45413</v>
      </c>
      <c r="B404" s="1" t="s">
        <v>28</v>
      </c>
      <c r="C404" s="1" t="s">
        <v>18</v>
      </c>
      <c r="D404" s="2">
        <v>4.7100000000000003E-2</v>
      </c>
      <c r="E404" s="3">
        <v>1</v>
      </c>
      <c r="F404" s="2" t="s">
        <v>14</v>
      </c>
      <c r="G404" s="2">
        <v>0</v>
      </c>
      <c r="H404" s="2">
        <v>6.5000000000000002E-2</v>
      </c>
      <c r="I404" s="2" t="s">
        <v>14</v>
      </c>
      <c r="J404" s="2" t="s">
        <v>14</v>
      </c>
      <c r="K404" s="2">
        <v>0</v>
      </c>
      <c r="L404" s="4">
        <v>0.03</v>
      </c>
    </row>
    <row r="405" spans="1:12" x14ac:dyDescent="0.25">
      <c r="A405" s="5">
        <v>45413</v>
      </c>
      <c r="B405" s="1" t="s">
        <v>29</v>
      </c>
      <c r="C405" s="1" t="s">
        <v>13</v>
      </c>
      <c r="D405" s="2">
        <v>4.36E-2</v>
      </c>
      <c r="E405" s="3">
        <v>1</v>
      </c>
      <c r="F405" s="2">
        <v>7.7499999999999999E-2</v>
      </c>
      <c r="G405" s="2">
        <v>0</v>
      </c>
      <c r="H405" s="2" t="s">
        <v>14</v>
      </c>
      <c r="I405" s="2" t="s">
        <v>14</v>
      </c>
      <c r="J405" s="2" t="s">
        <v>14</v>
      </c>
      <c r="K405" s="2">
        <v>0</v>
      </c>
      <c r="L405" s="4">
        <v>0.03</v>
      </c>
    </row>
    <row r="406" spans="1:12" x14ac:dyDescent="0.25">
      <c r="A406" s="5">
        <v>45413</v>
      </c>
      <c r="B406" s="1" t="s">
        <v>29</v>
      </c>
      <c r="C406" s="1" t="s">
        <v>16</v>
      </c>
      <c r="D406" s="2">
        <v>2.4400000000000002E-2</v>
      </c>
      <c r="E406" s="3">
        <v>1</v>
      </c>
      <c r="F406" s="2">
        <v>5.7500000000000002E-2</v>
      </c>
      <c r="G406" s="2">
        <v>1.4999999999999999E-2</v>
      </c>
      <c r="H406" s="2" t="s">
        <v>14</v>
      </c>
      <c r="I406" s="2" t="s">
        <v>14</v>
      </c>
      <c r="J406" s="2" t="s">
        <v>14</v>
      </c>
      <c r="K406" s="2">
        <v>0</v>
      </c>
      <c r="L406" s="4">
        <v>0.03</v>
      </c>
    </row>
    <row r="407" spans="1:12" x14ac:dyDescent="0.25">
      <c r="A407" s="5">
        <v>45413</v>
      </c>
      <c r="B407" s="1" t="s">
        <v>29</v>
      </c>
      <c r="C407" s="1" t="s">
        <v>17</v>
      </c>
      <c r="D407" s="2">
        <v>3.4599999999999999E-2</v>
      </c>
      <c r="E407" s="3">
        <v>1</v>
      </c>
      <c r="F407" s="2" t="s">
        <v>14</v>
      </c>
      <c r="G407" s="2">
        <v>0</v>
      </c>
      <c r="H407" s="2" t="s">
        <v>14</v>
      </c>
      <c r="I407" s="2">
        <v>8.6999999999999994E-2</v>
      </c>
      <c r="J407" s="2" t="s">
        <v>14</v>
      </c>
      <c r="K407" s="2">
        <v>0</v>
      </c>
      <c r="L407" s="4">
        <v>0.03</v>
      </c>
    </row>
    <row r="408" spans="1:12" x14ac:dyDescent="0.25">
      <c r="A408" s="5">
        <v>45413</v>
      </c>
      <c r="B408" s="1" t="s">
        <v>29</v>
      </c>
      <c r="C408" s="1" t="s">
        <v>18</v>
      </c>
      <c r="D408" s="2">
        <v>4.1300000000000003E-2</v>
      </c>
      <c r="E408" s="3">
        <v>1</v>
      </c>
      <c r="F408" s="2" t="s">
        <v>14</v>
      </c>
      <c r="G408" s="2">
        <v>0</v>
      </c>
      <c r="H408" s="2">
        <v>5.7000000000000002E-2</v>
      </c>
      <c r="I408" s="2" t="s">
        <v>14</v>
      </c>
      <c r="J408" s="2" t="s">
        <v>14</v>
      </c>
      <c r="K408" s="2">
        <v>0</v>
      </c>
      <c r="L408" s="4">
        <v>0.03</v>
      </c>
    </row>
    <row r="409" spans="1:12" x14ac:dyDescent="0.25">
      <c r="A409" s="5">
        <v>45446</v>
      </c>
      <c r="B409" s="1" t="s">
        <v>12</v>
      </c>
      <c r="C409" s="1" t="s">
        <v>13</v>
      </c>
      <c r="D409" s="2">
        <v>5.0999999999999997E-2</v>
      </c>
      <c r="E409" s="3">
        <v>1</v>
      </c>
      <c r="F409" s="2">
        <v>9.7500000000000003E-2</v>
      </c>
      <c r="G409" s="2">
        <v>0</v>
      </c>
      <c r="H409" s="2" t="s">
        <v>14</v>
      </c>
      <c r="I409" s="2" t="s">
        <v>14</v>
      </c>
      <c r="J409" s="2" t="s">
        <v>14</v>
      </c>
      <c r="K409" s="2">
        <v>0</v>
      </c>
      <c r="L409" s="4">
        <v>0.03</v>
      </c>
    </row>
    <row r="410" spans="1:12" x14ac:dyDescent="0.25">
      <c r="A410" s="5">
        <v>45446</v>
      </c>
      <c r="B410" s="1" t="s">
        <v>15</v>
      </c>
      <c r="C410" s="1" t="s">
        <v>13</v>
      </c>
      <c r="D410" s="2">
        <v>5.0999999999999997E-2</v>
      </c>
      <c r="E410" s="3">
        <v>1</v>
      </c>
      <c r="F410" s="2">
        <v>9.7500000000000003E-2</v>
      </c>
      <c r="G410" s="2">
        <v>0</v>
      </c>
      <c r="H410" s="2" t="s">
        <v>14</v>
      </c>
      <c r="I410" s="2" t="s">
        <v>14</v>
      </c>
      <c r="J410" s="2" t="s">
        <v>14</v>
      </c>
      <c r="K410" s="2">
        <v>0</v>
      </c>
      <c r="L410" s="4">
        <v>0.03</v>
      </c>
    </row>
    <row r="411" spans="1:12" x14ac:dyDescent="0.25">
      <c r="A411" s="5">
        <v>45446</v>
      </c>
      <c r="B411" s="1" t="s">
        <v>15</v>
      </c>
      <c r="C411" s="1" t="s">
        <v>16</v>
      </c>
      <c r="D411" s="2">
        <v>3.6499999999999998E-2</v>
      </c>
      <c r="E411" s="3">
        <v>1</v>
      </c>
      <c r="F411" s="2">
        <v>8.5000000000000006E-2</v>
      </c>
      <c r="G411" s="2">
        <v>1.4999999999999999E-2</v>
      </c>
      <c r="H411" s="2" t="s">
        <v>14</v>
      </c>
      <c r="I411" s="2" t="s">
        <v>14</v>
      </c>
      <c r="J411" s="2" t="s">
        <v>14</v>
      </c>
      <c r="K411" s="2">
        <v>0</v>
      </c>
      <c r="L411" s="4">
        <v>0.03</v>
      </c>
    </row>
    <row r="412" spans="1:12" x14ac:dyDescent="0.25">
      <c r="A412" s="5">
        <v>45446</v>
      </c>
      <c r="B412" s="1" t="s">
        <v>15</v>
      </c>
      <c r="C412" s="1" t="s">
        <v>17</v>
      </c>
      <c r="D412" s="2">
        <v>3.5999999999999997E-2</v>
      </c>
      <c r="E412" s="3">
        <v>1</v>
      </c>
      <c r="F412" s="2" t="s">
        <v>14</v>
      </c>
      <c r="G412" s="2">
        <v>0</v>
      </c>
      <c r="H412" s="2" t="s">
        <v>14</v>
      </c>
      <c r="I412" s="2">
        <v>0.08</v>
      </c>
      <c r="J412" s="2" t="s">
        <v>14</v>
      </c>
      <c r="K412" s="2">
        <v>0</v>
      </c>
      <c r="L412" s="4">
        <v>0.03</v>
      </c>
    </row>
    <row r="413" spans="1:12" x14ac:dyDescent="0.25">
      <c r="A413" s="5">
        <v>45446</v>
      </c>
      <c r="B413" s="1" t="s">
        <v>15</v>
      </c>
      <c r="C413" s="1" t="s">
        <v>18</v>
      </c>
      <c r="D413" s="2">
        <v>5.5300000000000002E-2</v>
      </c>
      <c r="E413" s="3">
        <v>1</v>
      </c>
      <c r="F413" s="2" t="s">
        <v>14</v>
      </c>
      <c r="G413" s="2">
        <v>0</v>
      </c>
      <c r="H413" s="2">
        <v>7.4999999999999997E-2</v>
      </c>
      <c r="I413" s="2" t="s">
        <v>14</v>
      </c>
      <c r="J413" s="2" t="s">
        <v>14</v>
      </c>
      <c r="K413" s="2">
        <v>0</v>
      </c>
      <c r="L413" s="4">
        <v>0.03</v>
      </c>
    </row>
    <row r="414" spans="1:12" x14ac:dyDescent="0.25">
      <c r="A414" s="5">
        <v>45446</v>
      </c>
      <c r="B414" s="1" t="s">
        <v>19</v>
      </c>
      <c r="C414" s="1" t="s">
        <v>13</v>
      </c>
      <c r="D414" s="2">
        <v>4.0399999999999998E-2</v>
      </c>
      <c r="E414" s="3">
        <v>1</v>
      </c>
      <c r="F414" s="2">
        <v>7.2499999999999995E-2</v>
      </c>
      <c r="G414" s="2">
        <v>0</v>
      </c>
      <c r="H414" s="2" t="s">
        <v>14</v>
      </c>
      <c r="I414" s="2" t="s">
        <v>14</v>
      </c>
      <c r="J414" s="2" t="s">
        <v>14</v>
      </c>
      <c r="K414" s="2">
        <v>0</v>
      </c>
      <c r="L414" s="4">
        <v>0.03</v>
      </c>
    </row>
    <row r="415" spans="1:12" x14ac:dyDescent="0.25">
      <c r="A415" s="5">
        <v>45446</v>
      </c>
      <c r="B415" s="1" t="s">
        <v>19</v>
      </c>
      <c r="C415" s="1" t="s">
        <v>16</v>
      </c>
      <c r="D415" s="2">
        <v>2.5100000000000001E-2</v>
      </c>
      <c r="E415" s="3">
        <v>1</v>
      </c>
      <c r="F415" s="2">
        <v>0.06</v>
      </c>
      <c r="G415" s="2">
        <v>1.4999999999999999E-2</v>
      </c>
      <c r="H415" s="2" t="s">
        <v>14</v>
      </c>
      <c r="I415" s="2" t="s">
        <v>14</v>
      </c>
      <c r="J415" s="2" t="s">
        <v>14</v>
      </c>
      <c r="K415" s="2">
        <v>0</v>
      </c>
      <c r="L415" s="4">
        <v>0.03</v>
      </c>
    </row>
    <row r="416" spans="1:12" x14ac:dyDescent="0.25">
      <c r="A416" s="5">
        <v>45446</v>
      </c>
      <c r="B416" s="1" t="s">
        <v>19</v>
      </c>
      <c r="C416" s="1" t="s">
        <v>17</v>
      </c>
      <c r="D416" s="2">
        <v>3.1800000000000002E-2</v>
      </c>
      <c r="E416" s="3">
        <v>1</v>
      </c>
      <c r="F416" s="2" t="s">
        <v>14</v>
      </c>
      <c r="G416" s="2">
        <v>0</v>
      </c>
      <c r="H416" s="2" t="s">
        <v>14</v>
      </c>
      <c r="I416" s="2">
        <v>0.09</v>
      </c>
      <c r="J416" s="2" t="s">
        <v>14</v>
      </c>
      <c r="K416" s="2">
        <v>0</v>
      </c>
      <c r="L416" s="4">
        <v>0.03</v>
      </c>
    </row>
    <row r="417" spans="1:12" x14ac:dyDescent="0.25">
      <c r="A417" s="5">
        <v>45446</v>
      </c>
      <c r="B417" s="1" t="s">
        <v>19</v>
      </c>
      <c r="C417" s="1" t="s">
        <v>18</v>
      </c>
      <c r="D417" s="2">
        <v>4.4200000000000003E-2</v>
      </c>
      <c r="E417" s="3">
        <v>1</v>
      </c>
      <c r="F417" s="2" t="s">
        <v>14</v>
      </c>
      <c r="G417" s="2">
        <v>0</v>
      </c>
      <c r="H417" s="2">
        <v>0.06</v>
      </c>
      <c r="I417" s="2" t="s">
        <v>14</v>
      </c>
      <c r="J417" s="2" t="s">
        <v>14</v>
      </c>
      <c r="K417" s="2">
        <v>0</v>
      </c>
      <c r="L417" s="4">
        <v>0.03</v>
      </c>
    </row>
    <row r="418" spans="1:12" x14ac:dyDescent="0.25">
      <c r="A418" s="5">
        <v>45446</v>
      </c>
      <c r="B418" s="1" t="s">
        <v>20</v>
      </c>
      <c r="C418" s="1" t="s">
        <v>13</v>
      </c>
      <c r="D418" s="2">
        <v>5.0999999999999997E-2</v>
      </c>
      <c r="E418" s="3">
        <v>1</v>
      </c>
      <c r="F418" s="2">
        <v>9.7500000000000003E-2</v>
      </c>
      <c r="G418" s="2">
        <v>0</v>
      </c>
      <c r="H418" s="2" t="s">
        <v>14</v>
      </c>
      <c r="I418" s="2" t="s">
        <v>14</v>
      </c>
      <c r="J418" s="2" t="s">
        <v>14</v>
      </c>
      <c r="K418" s="2">
        <v>0</v>
      </c>
      <c r="L418" s="4">
        <v>0.03</v>
      </c>
    </row>
    <row r="419" spans="1:12" x14ac:dyDescent="0.25">
      <c r="A419" s="5">
        <v>45446</v>
      </c>
      <c r="B419" s="1" t="s">
        <v>20</v>
      </c>
      <c r="C419" s="1" t="s">
        <v>17</v>
      </c>
      <c r="D419" s="2">
        <v>3.5999999999999997E-2</v>
      </c>
      <c r="E419" s="3">
        <v>1</v>
      </c>
      <c r="F419" s="2" t="s">
        <v>14</v>
      </c>
      <c r="G419" s="2">
        <v>0</v>
      </c>
      <c r="H419" s="2" t="s">
        <v>14</v>
      </c>
      <c r="I419" s="2">
        <v>0.08</v>
      </c>
      <c r="J419" s="2" t="s">
        <v>14</v>
      </c>
      <c r="K419" s="2">
        <v>0</v>
      </c>
      <c r="L419" s="4">
        <v>0.03</v>
      </c>
    </row>
    <row r="420" spans="1:12" x14ac:dyDescent="0.25">
      <c r="A420" s="5">
        <v>45446</v>
      </c>
      <c r="B420" s="1" t="s">
        <v>20</v>
      </c>
      <c r="C420" s="1" t="s">
        <v>21</v>
      </c>
      <c r="D420" s="2">
        <v>5.8500000000000003E-2</v>
      </c>
      <c r="E420" s="3">
        <v>1</v>
      </c>
      <c r="F420" s="2">
        <v>0.12</v>
      </c>
      <c r="G420" s="2">
        <v>0</v>
      </c>
      <c r="H420" s="2" t="s">
        <v>14</v>
      </c>
      <c r="I420" s="2" t="s">
        <v>14</v>
      </c>
      <c r="J420" s="2">
        <v>4.1500000000000002E-2</v>
      </c>
      <c r="K420" s="2">
        <v>0.6</v>
      </c>
      <c r="L420" s="4">
        <v>0.03</v>
      </c>
    </row>
    <row r="421" spans="1:12" x14ac:dyDescent="0.25">
      <c r="A421" s="5">
        <v>45446</v>
      </c>
      <c r="B421" s="1" t="s">
        <v>20</v>
      </c>
      <c r="C421" s="1" t="s">
        <v>22</v>
      </c>
      <c r="D421" s="2">
        <v>5.8500000000000003E-2</v>
      </c>
      <c r="E421" s="3">
        <v>1</v>
      </c>
      <c r="F421" s="2">
        <v>0.12</v>
      </c>
      <c r="G421" s="2">
        <v>0</v>
      </c>
      <c r="H421" s="2" t="s">
        <v>14</v>
      </c>
      <c r="I421" s="2" t="s">
        <v>14</v>
      </c>
      <c r="J421" s="2">
        <v>2.1499999999999998E-2</v>
      </c>
      <c r="K421" s="2">
        <v>0.24</v>
      </c>
      <c r="L421" s="4">
        <v>0.03</v>
      </c>
    </row>
    <row r="422" spans="1:12" x14ac:dyDescent="0.25">
      <c r="A422" s="5">
        <v>45446</v>
      </c>
      <c r="B422" s="1" t="s">
        <v>23</v>
      </c>
      <c r="C422" s="1" t="s">
        <v>24</v>
      </c>
      <c r="D422" s="2">
        <v>2.2541996548866097E-2</v>
      </c>
      <c r="E422" s="3">
        <v>2.4</v>
      </c>
      <c r="F422" s="2" t="s">
        <v>14</v>
      </c>
      <c r="G422" s="2">
        <v>0</v>
      </c>
      <c r="H422" s="2" t="s">
        <v>14</v>
      </c>
      <c r="I422" s="2" t="s">
        <v>14</v>
      </c>
      <c r="J422" s="2" t="s">
        <v>14</v>
      </c>
      <c r="K422" s="2">
        <v>0</v>
      </c>
      <c r="L422" s="4">
        <v>0.03</v>
      </c>
    </row>
    <row r="423" spans="1:12" x14ac:dyDescent="0.25">
      <c r="A423" s="5">
        <v>45446</v>
      </c>
      <c r="B423" s="1" t="s">
        <v>23</v>
      </c>
      <c r="C423" s="1" t="s">
        <v>25</v>
      </c>
      <c r="D423" s="2">
        <v>5.1367166393020768E-2</v>
      </c>
      <c r="E423" s="3">
        <v>1</v>
      </c>
      <c r="F423" s="2">
        <v>0.10249999999999999</v>
      </c>
      <c r="G423" s="2">
        <v>0</v>
      </c>
      <c r="H423" s="2" t="s">
        <v>14</v>
      </c>
      <c r="I423" s="2" t="s">
        <v>14</v>
      </c>
      <c r="J423" s="2" t="s">
        <v>14</v>
      </c>
      <c r="K423" s="2">
        <v>0</v>
      </c>
      <c r="L423" s="4">
        <v>0.03</v>
      </c>
    </row>
    <row r="424" spans="1:12" x14ac:dyDescent="0.25">
      <c r="A424" s="5">
        <v>45446</v>
      </c>
      <c r="B424" s="1" t="s">
        <v>23</v>
      </c>
      <c r="C424" s="1" t="s">
        <v>13</v>
      </c>
      <c r="D424" s="2">
        <v>5.28E-2</v>
      </c>
      <c r="E424" s="3">
        <v>1</v>
      </c>
      <c r="F424" s="2">
        <v>0.10249999999999999</v>
      </c>
      <c r="G424" s="2">
        <v>0</v>
      </c>
      <c r="H424" s="2" t="s">
        <v>14</v>
      </c>
      <c r="I424" s="2" t="s">
        <v>14</v>
      </c>
      <c r="J424" s="2" t="s">
        <v>14</v>
      </c>
      <c r="K424" s="2">
        <v>0</v>
      </c>
      <c r="L424" s="4">
        <v>0.03</v>
      </c>
    </row>
    <row r="425" spans="1:12" x14ac:dyDescent="0.25">
      <c r="A425" s="5">
        <v>45446</v>
      </c>
      <c r="B425" s="1" t="s">
        <v>23</v>
      </c>
      <c r="C425" s="1" t="s">
        <v>17</v>
      </c>
      <c r="D425" s="2">
        <v>3.5999999999999997E-2</v>
      </c>
      <c r="E425" s="3">
        <v>1</v>
      </c>
      <c r="F425" s="2" t="s">
        <v>14</v>
      </c>
      <c r="G425" s="2">
        <v>0</v>
      </c>
      <c r="H425" s="2" t="s">
        <v>14</v>
      </c>
      <c r="I425" s="2">
        <v>0.08</v>
      </c>
      <c r="J425" s="2" t="s">
        <v>14</v>
      </c>
      <c r="K425" s="2">
        <v>0</v>
      </c>
      <c r="L425" s="4">
        <v>0.03</v>
      </c>
    </row>
    <row r="426" spans="1:12" x14ac:dyDescent="0.25">
      <c r="A426" s="5">
        <v>45446</v>
      </c>
      <c r="B426" s="1" t="s">
        <v>23</v>
      </c>
      <c r="C426" s="1" t="s">
        <v>21</v>
      </c>
      <c r="D426" s="2">
        <v>5.8500000000000003E-2</v>
      </c>
      <c r="E426" s="3">
        <v>1</v>
      </c>
      <c r="F426" s="2">
        <v>0.12</v>
      </c>
      <c r="G426" s="2">
        <v>0</v>
      </c>
      <c r="H426" s="2" t="s">
        <v>14</v>
      </c>
      <c r="I426" s="2" t="s">
        <v>14</v>
      </c>
      <c r="J426" s="2">
        <v>4.1500000000000002E-2</v>
      </c>
      <c r="K426" s="2">
        <v>0.6</v>
      </c>
      <c r="L426" s="4">
        <v>0.03</v>
      </c>
    </row>
    <row r="427" spans="1:12" x14ac:dyDescent="0.25">
      <c r="A427" s="5">
        <v>45446</v>
      </c>
      <c r="B427" s="1" t="s">
        <v>23</v>
      </c>
      <c r="C427" s="1" t="s">
        <v>22</v>
      </c>
      <c r="D427" s="2">
        <v>5.8500000000000003E-2</v>
      </c>
      <c r="E427" s="3">
        <v>1</v>
      </c>
      <c r="F427" s="2">
        <v>0.12</v>
      </c>
      <c r="G427" s="2">
        <v>0</v>
      </c>
      <c r="H427" s="2" t="s">
        <v>14</v>
      </c>
      <c r="I427" s="2" t="s">
        <v>14</v>
      </c>
      <c r="J427" s="2">
        <v>2.1499999999999998E-2</v>
      </c>
      <c r="K427" s="2">
        <v>0.24</v>
      </c>
      <c r="L427" s="4">
        <v>0.03</v>
      </c>
    </row>
    <row r="428" spans="1:12" x14ac:dyDescent="0.25">
      <c r="A428" s="5">
        <v>45446</v>
      </c>
      <c r="B428" s="1" t="s">
        <v>26</v>
      </c>
      <c r="C428" s="1" t="s">
        <v>24</v>
      </c>
      <c r="D428" s="2">
        <v>2.2499999999999999E-2</v>
      </c>
      <c r="E428" s="3">
        <v>2.4</v>
      </c>
      <c r="F428" s="2" t="s">
        <v>14</v>
      </c>
      <c r="G428" s="2">
        <v>0</v>
      </c>
      <c r="H428" s="2" t="s">
        <v>14</v>
      </c>
      <c r="I428" s="2" t="s">
        <v>14</v>
      </c>
      <c r="J428" s="2" t="s">
        <v>14</v>
      </c>
      <c r="K428" s="2">
        <v>0</v>
      </c>
      <c r="L428" s="4">
        <v>0.03</v>
      </c>
    </row>
    <row r="429" spans="1:12" x14ac:dyDescent="0.25">
      <c r="A429" s="5">
        <v>45446</v>
      </c>
      <c r="B429" s="1" t="s">
        <v>26</v>
      </c>
      <c r="C429" s="1" t="s">
        <v>25</v>
      </c>
      <c r="D429" s="2">
        <v>5.04E-2</v>
      </c>
      <c r="E429" s="3">
        <v>1</v>
      </c>
      <c r="F429" s="2">
        <v>0.1</v>
      </c>
      <c r="G429" s="2">
        <v>0</v>
      </c>
      <c r="H429" s="2" t="s">
        <v>14</v>
      </c>
      <c r="I429" s="2" t="s">
        <v>14</v>
      </c>
      <c r="J429" s="2" t="s">
        <v>14</v>
      </c>
      <c r="K429" s="2">
        <v>0</v>
      </c>
      <c r="L429" s="4">
        <v>0.03</v>
      </c>
    </row>
    <row r="430" spans="1:12" x14ac:dyDescent="0.25">
      <c r="A430" s="5">
        <v>45446</v>
      </c>
      <c r="B430" s="1" t="s">
        <v>26</v>
      </c>
      <c r="C430" s="1" t="s">
        <v>13</v>
      </c>
      <c r="D430" s="2">
        <v>5.1900000000000002E-2</v>
      </c>
      <c r="E430" s="3">
        <v>1</v>
      </c>
      <c r="F430" s="2">
        <v>0.1</v>
      </c>
      <c r="G430" s="2">
        <v>0</v>
      </c>
      <c r="H430" s="2" t="s">
        <v>14</v>
      </c>
      <c r="I430" s="2" t="s">
        <v>14</v>
      </c>
      <c r="J430" s="2" t="s">
        <v>14</v>
      </c>
      <c r="K430" s="2">
        <v>0</v>
      </c>
      <c r="L430" s="4">
        <v>0.03</v>
      </c>
    </row>
    <row r="431" spans="1:12" x14ac:dyDescent="0.25">
      <c r="A431" s="5">
        <v>45446</v>
      </c>
      <c r="B431" s="1" t="s">
        <v>26</v>
      </c>
      <c r="C431" s="1" t="s">
        <v>17</v>
      </c>
      <c r="D431" s="2">
        <v>3.5999999999999997E-2</v>
      </c>
      <c r="E431" s="3">
        <v>1</v>
      </c>
      <c r="F431" s="2" t="s">
        <v>14</v>
      </c>
      <c r="G431" s="2">
        <v>0</v>
      </c>
      <c r="H431" s="2" t="s">
        <v>14</v>
      </c>
      <c r="I431" s="2">
        <v>0.08</v>
      </c>
      <c r="J431" s="2" t="s">
        <v>14</v>
      </c>
      <c r="K431" s="2">
        <v>0</v>
      </c>
      <c r="L431" s="4">
        <v>0.03</v>
      </c>
    </row>
    <row r="432" spans="1:12" x14ac:dyDescent="0.25">
      <c r="A432" s="5">
        <v>45446</v>
      </c>
      <c r="B432" s="1" t="s">
        <v>26</v>
      </c>
      <c r="C432" s="1" t="s">
        <v>21</v>
      </c>
      <c r="D432" s="2">
        <v>5.8500000000000003E-2</v>
      </c>
      <c r="E432" s="3">
        <v>1</v>
      </c>
      <c r="F432" s="2">
        <v>0.12</v>
      </c>
      <c r="G432" s="2">
        <v>0</v>
      </c>
      <c r="H432" s="2" t="s">
        <v>14</v>
      </c>
      <c r="I432" s="2" t="s">
        <v>14</v>
      </c>
      <c r="J432" s="2">
        <v>4.1500000000000002E-2</v>
      </c>
      <c r="K432" s="2">
        <v>0.6</v>
      </c>
      <c r="L432" s="4">
        <v>0.03</v>
      </c>
    </row>
    <row r="433" spans="1:12" x14ac:dyDescent="0.25">
      <c r="A433" s="5">
        <v>45446</v>
      </c>
      <c r="B433" s="1" t="s">
        <v>26</v>
      </c>
      <c r="C433" s="1" t="s">
        <v>22</v>
      </c>
      <c r="D433" s="2">
        <v>5.8500000000000003E-2</v>
      </c>
      <c r="E433" s="3">
        <v>1</v>
      </c>
      <c r="F433" s="2">
        <v>0.12</v>
      </c>
      <c r="G433" s="2">
        <v>0</v>
      </c>
      <c r="H433" s="2" t="s">
        <v>14</v>
      </c>
      <c r="I433" s="2" t="s">
        <v>14</v>
      </c>
      <c r="J433" s="2">
        <v>2.1499999999999998E-2</v>
      </c>
      <c r="K433" s="2">
        <v>0.24</v>
      </c>
      <c r="L433" s="4">
        <v>0.03</v>
      </c>
    </row>
    <row r="434" spans="1:12" x14ac:dyDescent="0.25">
      <c r="A434" s="5">
        <v>45446</v>
      </c>
      <c r="B434" s="1" t="s">
        <v>27</v>
      </c>
      <c r="C434" s="1" t="s">
        <v>13</v>
      </c>
      <c r="D434" s="2">
        <v>4.900704295163133E-2</v>
      </c>
      <c r="E434" s="3">
        <v>1</v>
      </c>
      <c r="F434" s="2">
        <v>9.2499999999999999E-2</v>
      </c>
      <c r="G434" s="2">
        <v>0</v>
      </c>
      <c r="H434" s="2" t="s">
        <v>14</v>
      </c>
      <c r="I434" s="2" t="s">
        <v>14</v>
      </c>
      <c r="J434" s="2" t="s">
        <v>14</v>
      </c>
      <c r="K434" s="2">
        <v>0</v>
      </c>
      <c r="L434" s="4">
        <v>0.03</v>
      </c>
    </row>
    <row r="435" spans="1:12" x14ac:dyDescent="0.25">
      <c r="A435" s="5">
        <v>45446</v>
      </c>
      <c r="B435" s="1" t="s">
        <v>27</v>
      </c>
      <c r="C435" s="1" t="s">
        <v>17</v>
      </c>
      <c r="D435" s="2">
        <v>3.1763800110509506E-2</v>
      </c>
      <c r="E435" s="3">
        <v>1</v>
      </c>
      <c r="F435" s="2" t="s">
        <v>14</v>
      </c>
      <c r="G435" s="2">
        <v>0</v>
      </c>
      <c r="H435" s="2" t="s">
        <v>14</v>
      </c>
      <c r="I435" s="2">
        <v>0.09</v>
      </c>
      <c r="J435" s="2" t="s">
        <v>14</v>
      </c>
      <c r="K435" s="2">
        <v>0</v>
      </c>
      <c r="L435" s="4">
        <v>0.03</v>
      </c>
    </row>
    <row r="436" spans="1:12" x14ac:dyDescent="0.25">
      <c r="A436" s="5">
        <v>45446</v>
      </c>
      <c r="B436" s="1" t="s">
        <v>27</v>
      </c>
      <c r="C436" s="1" t="s">
        <v>24</v>
      </c>
      <c r="D436" s="2">
        <v>2.2499999999999999E-2</v>
      </c>
      <c r="E436" s="3">
        <v>2.2000000000000002</v>
      </c>
      <c r="F436" s="2" t="s">
        <v>14</v>
      </c>
      <c r="G436" s="2">
        <v>0</v>
      </c>
      <c r="H436" s="2" t="s">
        <v>14</v>
      </c>
      <c r="I436" s="2" t="s">
        <v>14</v>
      </c>
      <c r="J436" s="2" t="s">
        <v>14</v>
      </c>
      <c r="K436" s="2">
        <v>0</v>
      </c>
      <c r="L436" s="4">
        <v>0.03</v>
      </c>
    </row>
    <row r="437" spans="1:12" x14ac:dyDescent="0.25">
      <c r="A437" s="5">
        <v>45446</v>
      </c>
      <c r="B437" s="1" t="s">
        <v>27</v>
      </c>
      <c r="C437" s="1" t="s">
        <v>25</v>
      </c>
      <c r="D437" s="2">
        <v>4.7354049533090796E-2</v>
      </c>
      <c r="E437" s="3">
        <v>1</v>
      </c>
      <c r="F437" s="2">
        <v>9.2499999999999999E-2</v>
      </c>
      <c r="G437" s="2">
        <v>0</v>
      </c>
      <c r="H437" s="2" t="s">
        <v>14</v>
      </c>
      <c r="I437" s="2" t="s">
        <v>14</v>
      </c>
      <c r="J437" s="2" t="s">
        <v>14</v>
      </c>
      <c r="K437" s="2">
        <v>0</v>
      </c>
      <c r="L437" s="4">
        <v>0.03</v>
      </c>
    </row>
    <row r="438" spans="1:12" x14ac:dyDescent="0.25">
      <c r="A438" s="5">
        <v>45446</v>
      </c>
      <c r="B438" s="1" t="s">
        <v>28</v>
      </c>
      <c r="C438" s="1" t="s">
        <v>13</v>
      </c>
      <c r="D438" s="2">
        <v>4.7E-2</v>
      </c>
      <c r="E438" s="3">
        <v>1</v>
      </c>
      <c r="F438" s="2">
        <v>8.5000000000000006E-2</v>
      </c>
      <c r="G438" s="2">
        <v>0</v>
      </c>
      <c r="H438" s="2" t="s">
        <v>14</v>
      </c>
      <c r="I438" s="2" t="s">
        <v>14</v>
      </c>
      <c r="J438" s="2" t="s">
        <v>14</v>
      </c>
      <c r="K438" s="2">
        <v>0</v>
      </c>
      <c r="L438" s="4">
        <v>0.03</v>
      </c>
    </row>
    <row r="439" spans="1:12" x14ac:dyDescent="0.25">
      <c r="A439" s="5">
        <v>45446</v>
      </c>
      <c r="B439" s="1" t="s">
        <v>28</v>
      </c>
      <c r="C439" s="1" t="s">
        <v>16</v>
      </c>
      <c r="D439" s="2">
        <v>3.0499999999999999E-2</v>
      </c>
      <c r="E439" s="3">
        <v>1</v>
      </c>
      <c r="F439" s="2">
        <v>7.0000000000000007E-2</v>
      </c>
      <c r="G439" s="2">
        <v>1.4999999999999999E-2</v>
      </c>
      <c r="H439" s="2" t="s">
        <v>14</v>
      </c>
      <c r="I439" s="2" t="s">
        <v>14</v>
      </c>
      <c r="J439" s="2" t="s">
        <v>14</v>
      </c>
      <c r="K439" s="2">
        <v>0</v>
      </c>
      <c r="L439" s="4">
        <v>0.03</v>
      </c>
    </row>
    <row r="440" spans="1:12" x14ac:dyDescent="0.25">
      <c r="A440" s="5">
        <v>45446</v>
      </c>
      <c r="B440" s="1" t="s">
        <v>28</v>
      </c>
      <c r="C440" s="1" t="s">
        <v>17</v>
      </c>
      <c r="D440" s="2">
        <v>3.8800000000000001E-2</v>
      </c>
      <c r="E440" s="3">
        <v>1</v>
      </c>
      <c r="F440" s="2" t="s">
        <v>14</v>
      </c>
      <c r="G440" s="2">
        <v>0</v>
      </c>
      <c r="H440" s="2" t="s">
        <v>14</v>
      </c>
      <c r="I440" s="2">
        <v>7.7499999999999999E-2</v>
      </c>
      <c r="J440" s="2" t="s">
        <v>14</v>
      </c>
      <c r="K440" s="2">
        <v>0</v>
      </c>
      <c r="L440" s="4">
        <v>0.03</v>
      </c>
    </row>
    <row r="441" spans="1:12" x14ac:dyDescent="0.25">
      <c r="A441" s="5">
        <v>45446</v>
      </c>
      <c r="B441" s="1" t="s">
        <v>28</v>
      </c>
      <c r="C441" s="1" t="s">
        <v>18</v>
      </c>
      <c r="D441" s="2">
        <v>4.7100000000000003E-2</v>
      </c>
      <c r="E441" s="3">
        <v>1</v>
      </c>
      <c r="F441" s="2" t="s">
        <v>14</v>
      </c>
      <c r="G441" s="2">
        <v>0</v>
      </c>
      <c r="H441" s="2">
        <v>6.5000000000000002E-2</v>
      </c>
      <c r="I441" s="2" t="s">
        <v>14</v>
      </c>
      <c r="J441" s="2" t="s">
        <v>14</v>
      </c>
      <c r="K441" s="2">
        <v>0</v>
      </c>
      <c r="L441" s="4">
        <v>0.03</v>
      </c>
    </row>
    <row r="442" spans="1:12" x14ac:dyDescent="0.25">
      <c r="A442" s="5">
        <v>45446</v>
      </c>
      <c r="B442" s="1" t="s">
        <v>29</v>
      </c>
      <c r="C442" s="1" t="s">
        <v>13</v>
      </c>
      <c r="D442" s="2">
        <v>4.36E-2</v>
      </c>
      <c r="E442" s="3">
        <v>1</v>
      </c>
      <c r="F442" s="2">
        <v>7.7499999999999999E-2</v>
      </c>
      <c r="G442" s="2">
        <v>0</v>
      </c>
      <c r="H442" s="2" t="s">
        <v>14</v>
      </c>
      <c r="I442" s="2" t="s">
        <v>14</v>
      </c>
      <c r="J442" s="2" t="s">
        <v>14</v>
      </c>
      <c r="K442" s="2">
        <v>0</v>
      </c>
      <c r="L442" s="4">
        <v>0.03</v>
      </c>
    </row>
    <row r="443" spans="1:12" x14ac:dyDescent="0.25">
      <c r="A443" s="5">
        <v>45446</v>
      </c>
      <c r="B443" s="1" t="s">
        <v>29</v>
      </c>
      <c r="C443" s="1" t="s">
        <v>16</v>
      </c>
      <c r="D443" s="2">
        <v>2.4400000000000002E-2</v>
      </c>
      <c r="E443" s="3">
        <v>1</v>
      </c>
      <c r="F443" s="2">
        <v>5.7500000000000002E-2</v>
      </c>
      <c r="G443" s="2">
        <v>1.4999999999999999E-2</v>
      </c>
      <c r="H443" s="2" t="s">
        <v>14</v>
      </c>
      <c r="I443" s="2" t="s">
        <v>14</v>
      </c>
      <c r="J443" s="2" t="s">
        <v>14</v>
      </c>
      <c r="K443" s="2">
        <v>0</v>
      </c>
      <c r="L443" s="4">
        <v>0.03</v>
      </c>
    </row>
    <row r="444" spans="1:12" x14ac:dyDescent="0.25">
      <c r="A444" s="5">
        <v>45446</v>
      </c>
      <c r="B444" s="1" t="s">
        <v>29</v>
      </c>
      <c r="C444" s="1" t="s">
        <v>17</v>
      </c>
      <c r="D444" s="2">
        <v>3.4599999999999999E-2</v>
      </c>
      <c r="E444" s="3">
        <v>1</v>
      </c>
      <c r="F444" s="2" t="s">
        <v>14</v>
      </c>
      <c r="G444" s="2">
        <v>0</v>
      </c>
      <c r="H444" s="2" t="s">
        <v>14</v>
      </c>
      <c r="I444" s="2">
        <v>8.6999999999999994E-2</v>
      </c>
      <c r="J444" s="2" t="s">
        <v>14</v>
      </c>
      <c r="K444" s="2">
        <v>0</v>
      </c>
      <c r="L444" s="4">
        <v>0.03</v>
      </c>
    </row>
    <row r="445" spans="1:12" x14ac:dyDescent="0.25">
      <c r="A445" s="5">
        <v>45446</v>
      </c>
      <c r="B445" s="1" t="s">
        <v>29</v>
      </c>
      <c r="C445" s="1" t="s">
        <v>18</v>
      </c>
      <c r="D445" s="2">
        <v>4.1300000000000003E-2</v>
      </c>
      <c r="E445" s="3">
        <v>1</v>
      </c>
      <c r="F445" s="2" t="s">
        <v>14</v>
      </c>
      <c r="G445" s="2">
        <v>0</v>
      </c>
      <c r="H445" s="2">
        <v>5.7000000000000002E-2</v>
      </c>
      <c r="I445" s="2" t="s">
        <v>14</v>
      </c>
      <c r="J445" s="2" t="s">
        <v>14</v>
      </c>
      <c r="K445" s="2">
        <v>0</v>
      </c>
      <c r="L445" s="4">
        <v>0.03</v>
      </c>
    </row>
    <row r="446" spans="1:12" x14ac:dyDescent="0.25">
      <c r="A446" s="5">
        <v>45474</v>
      </c>
      <c r="B446" s="1" t="s">
        <v>12</v>
      </c>
      <c r="C446" s="1" t="s">
        <v>13</v>
      </c>
      <c r="D446" s="2">
        <v>5.1499999999999997E-2</v>
      </c>
      <c r="E446" s="3">
        <v>1</v>
      </c>
      <c r="F446" s="2">
        <v>9.7500000000000003E-2</v>
      </c>
      <c r="G446" s="2">
        <v>0</v>
      </c>
      <c r="H446" s="2" t="s">
        <v>14</v>
      </c>
      <c r="I446" s="2" t="s">
        <v>14</v>
      </c>
      <c r="J446" s="2" t="s">
        <v>14</v>
      </c>
      <c r="K446" s="2">
        <v>0</v>
      </c>
      <c r="L446" s="4">
        <v>0.03</v>
      </c>
    </row>
    <row r="447" spans="1:12" x14ac:dyDescent="0.25">
      <c r="A447" s="5">
        <v>45474</v>
      </c>
      <c r="B447" s="1" t="s">
        <v>15</v>
      </c>
      <c r="C447" s="1" t="s">
        <v>13</v>
      </c>
      <c r="D447" s="2">
        <v>5.1499999999999997E-2</v>
      </c>
      <c r="E447" s="3">
        <v>1</v>
      </c>
      <c r="F447" s="2">
        <v>9.7500000000000003E-2</v>
      </c>
      <c r="G447" s="2">
        <v>0</v>
      </c>
      <c r="H447" s="2" t="s">
        <v>14</v>
      </c>
      <c r="I447" s="2" t="s">
        <v>14</v>
      </c>
      <c r="J447" s="2" t="s">
        <v>14</v>
      </c>
      <c r="K447" s="2">
        <v>0</v>
      </c>
      <c r="L447" s="4">
        <v>0.03</v>
      </c>
    </row>
    <row r="448" spans="1:12" x14ac:dyDescent="0.25">
      <c r="A448" s="5">
        <v>45474</v>
      </c>
      <c r="B448" s="1" t="s">
        <v>15</v>
      </c>
      <c r="C448" s="1" t="s">
        <v>16</v>
      </c>
      <c r="D448" s="2">
        <v>3.6900000000000002E-2</v>
      </c>
      <c r="E448" s="3">
        <v>1</v>
      </c>
      <c r="F448" s="2">
        <v>8.5000000000000006E-2</v>
      </c>
      <c r="G448" s="2">
        <v>1.4999999999999999E-2</v>
      </c>
      <c r="H448" s="2" t="s">
        <v>14</v>
      </c>
      <c r="I448" s="2" t="s">
        <v>14</v>
      </c>
      <c r="J448" s="2" t="s">
        <v>14</v>
      </c>
      <c r="K448" s="2">
        <v>0</v>
      </c>
      <c r="L448" s="4">
        <v>0.03</v>
      </c>
    </row>
    <row r="449" spans="1:12" x14ac:dyDescent="0.25">
      <c r="A449" s="5">
        <v>45474</v>
      </c>
      <c r="B449" s="1" t="s">
        <v>15</v>
      </c>
      <c r="C449" s="1" t="s">
        <v>17</v>
      </c>
      <c r="D449" s="2">
        <v>3.5400000000000001E-2</v>
      </c>
      <c r="E449" s="3">
        <v>1</v>
      </c>
      <c r="F449" s="2" t="s">
        <v>14</v>
      </c>
      <c r="G449" s="2">
        <v>0</v>
      </c>
      <c r="H449" s="2" t="s">
        <v>14</v>
      </c>
      <c r="I449" s="2">
        <v>0.08</v>
      </c>
      <c r="J449" s="2" t="s">
        <v>14</v>
      </c>
      <c r="K449" s="2">
        <v>0</v>
      </c>
      <c r="L449" s="4">
        <v>0.03</v>
      </c>
    </row>
    <row r="450" spans="1:12" x14ac:dyDescent="0.25">
      <c r="A450" s="5">
        <v>45474</v>
      </c>
      <c r="B450" s="1" t="s">
        <v>15</v>
      </c>
      <c r="C450" s="1" t="s">
        <v>18</v>
      </c>
      <c r="D450" s="2">
        <v>5.5100000000000003E-2</v>
      </c>
      <c r="E450" s="3">
        <v>1</v>
      </c>
      <c r="F450" s="2" t="s">
        <v>14</v>
      </c>
      <c r="G450" s="2">
        <v>0</v>
      </c>
      <c r="H450" s="2">
        <v>7.4999999999999997E-2</v>
      </c>
      <c r="I450" s="2" t="s">
        <v>14</v>
      </c>
      <c r="J450" s="2" t="s">
        <v>14</v>
      </c>
      <c r="K450" s="2">
        <v>0</v>
      </c>
      <c r="L450" s="4">
        <v>0.03</v>
      </c>
    </row>
    <row r="451" spans="1:12" x14ac:dyDescent="0.25">
      <c r="A451" s="5">
        <v>45474</v>
      </c>
      <c r="B451" s="1" t="s">
        <v>19</v>
      </c>
      <c r="C451" s="1" t="s">
        <v>13</v>
      </c>
      <c r="D451" s="2">
        <v>4.0899999999999999E-2</v>
      </c>
      <c r="E451" s="3">
        <v>1</v>
      </c>
      <c r="F451" s="2">
        <v>7.2499999999999995E-2</v>
      </c>
      <c r="G451" s="2">
        <v>0</v>
      </c>
      <c r="H451" s="2" t="s">
        <v>14</v>
      </c>
      <c r="I451" s="2" t="s">
        <v>14</v>
      </c>
      <c r="J451" s="2" t="s">
        <v>14</v>
      </c>
      <c r="K451" s="2">
        <v>0</v>
      </c>
      <c r="L451" s="4">
        <v>0.03</v>
      </c>
    </row>
    <row r="452" spans="1:12" x14ac:dyDescent="0.25">
      <c r="A452" s="5">
        <v>45474</v>
      </c>
      <c r="B452" s="1" t="s">
        <v>19</v>
      </c>
      <c r="C452" s="1" t="s">
        <v>16</v>
      </c>
      <c r="D452" s="2">
        <v>3.4700000000000002E-2</v>
      </c>
      <c r="E452" s="3">
        <v>1</v>
      </c>
      <c r="F452" s="2">
        <v>0.06</v>
      </c>
      <c r="G452" s="2">
        <v>1.4999999999999999E-2</v>
      </c>
      <c r="H452" s="2" t="s">
        <v>14</v>
      </c>
      <c r="I452" s="2" t="s">
        <v>14</v>
      </c>
      <c r="J452" s="2" t="s">
        <v>14</v>
      </c>
      <c r="K452" s="2">
        <v>0</v>
      </c>
      <c r="L452" s="4">
        <v>0.03</v>
      </c>
    </row>
    <row r="453" spans="1:12" x14ac:dyDescent="0.25">
      <c r="A453" s="5">
        <v>45474</v>
      </c>
      <c r="B453" s="1" t="s">
        <v>19</v>
      </c>
      <c r="C453" s="1" t="s">
        <v>17</v>
      </c>
      <c r="D453" s="2">
        <v>3.1099999999999999E-2</v>
      </c>
      <c r="E453" s="3">
        <v>1</v>
      </c>
      <c r="F453" s="2" t="s">
        <v>14</v>
      </c>
      <c r="G453" s="2">
        <v>0</v>
      </c>
      <c r="H453" s="2" t="s">
        <v>14</v>
      </c>
      <c r="I453" s="2">
        <v>0.09</v>
      </c>
      <c r="J453" s="2" t="s">
        <v>14</v>
      </c>
      <c r="K453" s="2">
        <v>0</v>
      </c>
      <c r="L453" s="4">
        <v>0.03</v>
      </c>
    </row>
    <row r="454" spans="1:12" x14ac:dyDescent="0.25">
      <c r="A454" s="5">
        <v>45474</v>
      </c>
      <c r="B454" s="1" t="s">
        <v>19</v>
      </c>
      <c r="C454" s="1" t="s">
        <v>18</v>
      </c>
      <c r="D454" s="2">
        <v>4.41E-2</v>
      </c>
      <c r="E454" s="3">
        <v>1</v>
      </c>
      <c r="F454" s="2" t="s">
        <v>14</v>
      </c>
      <c r="G454" s="2">
        <v>0</v>
      </c>
      <c r="H454" s="2">
        <v>0.06</v>
      </c>
      <c r="I454" s="2" t="s">
        <v>14</v>
      </c>
      <c r="J454" s="2" t="s">
        <v>14</v>
      </c>
      <c r="K454" s="2">
        <v>0</v>
      </c>
      <c r="L454" s="4">
        <v>0.03</v>
      </c>
    </row>
    <row r="455" spans="1:12" x14ac:dyDescent="0.25">
      <c r="A455" s="5">
        <v>45474</v>
      </c>
      <c r="B455" s="1" t="s">
        <v>20</v>
      </c>
      <c r="C455" s="1" t="s">
        <v>13</v>
      </c>
      <c r="D455" s="2">
        <v>5.1499999999999997E-2</v>
      </c>
      <c r="E455" s="3">
        <v>1</v>
      </c>
      <c r="F455" s="2">
        <v>9.7500000000000003E-2</v>
      </c>
      <c r="G455" s="2">
        <v>0</v>
      </c>
      <c r="H455" s="2" t="s">
        <v>14</v>
      </c>
      <c r="I455" s="2" t="s">
        <v>14</v>
      </c>
      <c r="J455" s="2" t="s">
        <v>14</v>
      </c>
      <c r="K455" s="2">
        <v>0</v>
      </c>
      <c r="L455" s="4">
        <v>0.03</v>
      </c>
    </row>
    <row r="456" spans="1:12" x14ac:dyDescent="0.25">
      <c r="A456" s="5">
        <v>45474</v>
      </c>
      <c r="B456" s="1" t="s">
        <v>20</v>
      </c>
      <c r="C456" s="1" t="s">
        <v>17</v>
      </c>
      <c r="D456" s="2">
        <v>3.5400000000000001E-2</v>
      </c>
      <c r="E456" s="3">
        <v>1</v>
      </c>
      <c r="F456" s="2" t="s">
        <v>14</v>
      </c>
      <c r="G456" s="2">
        <v>0</v>
      </c>
      <c r="H456" s="2" t="s">
        <v>14</v>
      </c>
      <c r="I456" s="2">
        <v>0.08</v>
      </c>
      <c r="J456" s="2" t="s">
        <v>14</v>
      </c>
      <c r="K456" s="2">
        <v>0</v>
      </c>
      <c r="L456" s="4">
        <v>0.03</v>
      </c>
    </row>
    <row r="457" spans="1:12" x14ac:dyDescent="0.25">
      <c r="A457" s="5">
        <v>45474</v>
      </c>
      <c r="B457" s="1" t="s">
        <v>20</v>
      </c>
      <c r="C457" s="1" t="s">
        <v>21</v>
      </c>
      <c r="D457" s="2">
        <v>5.8999999999999997E-2</v>
      </c>
      <c r="E457" s="3">
        <v>1</v>
      </c>
      <c r="F457" s="2">
        <v>0.12</v>
      </c>
      <c r="G457" s="2">
        <v>0</v>
      </c>
      <c r="H457" s="2" t="s">
        <v>14</v>
      </c>
      <c r="I457" s="2" t="s">
        <v>14</v>
      </c>
      <c r="J457" s="2">
        <v>4.1500000000000002E-2</v>
      </c>
      <c r="K457" s="2">
        <v>0.6</v>
      </c>
      <c r="L457" s="4">
        <v>0.03</v>
      </c>
    </row>
    <row r="458" spans="1:12" x14ac:dyDescent="0.25">
      <c r="A458" s="5">
        <v>45474</v>
      </c>
      <c r="B458" s="1" t="s">
        <v>20</v>
      </c>
      <c r="C458" s="1" t="s">
        <v>22</v>
      </c>
      <c r="D458" s="2">
        <v>5.8999999999999997E-2</v>
      </c>
      <c r="E458" s="3">
        <v>1</v>
      </c>
      <c r="F458" s="2">
        <v>0.12</v>
      </c>
      <c r="G458" s="2">
        <v>0</v>
      </c>
      <c r="H458" s="2" t="s">
        <v>14</v>
      </c>
      <c r="I458" s="2" t="s">
        <v>14</v>
      </c>
      <c r="J458" s="2">
        <v>2.1499999999999998E-2</v>
      </c>
      <c r="K458" s="2">
        <v>0.24</v>
      </c>
      <c r="L458" s="4">
        <v>0.03</v>
      </c>
    </row>
    <row r="459" spans="1:12" x14ac:dyDescent="0.25">
      <c r="A459" s="5">
        <v>45474</v>
      </c>
      <c r="B459" s="1" t="s">
        <v>23</v>
      </c>
      <c r="C459" s="1" t="s">
        <v>24</v>
      </c>
      <c r="D459" s="2">
        <v>2.2847996789799298E-2</v>
      </c>
      <c r="E459" s="3">
        <v>2.4</v>
      </c>
      <c r="F459" s="2" t="s">
        <v>14</v>
      </c>
      <c r="G459" s="2">
        <v>0</v>
      </c>
      <c r="H459" s="2" t="s">
        <v>14</v>
      </c>
      <c r="I459" s="2" t="s">
        <v>14</v>
      </c>
      <c r="J459" s="2" t="s">
        <v>14</v>
      </c>
      <c r="K459" s="2">
        <v>0</v>
      </c>
      <c r="L459" s="4">
        <v>0.03</v>
      </c>
    </row>
    <row r="460" spans="1:12" x14ac:dyDescent="0.25">
      <c r="A460" s="5">
        <v>45474</v>
      </c>
      <c r="B460" s="1" t="s">
        <v>23</v>
      </c>
      <c r="C460" s="1" t="s">
        <v>25</v>
      </c>
      <c r="D460" s="2">
        <v>5.1975341557532272E-2</v>
      </c>
      <c r="E460" s="3">
        <v>1</v>
      </c>
      <c r="F460" s="2">
        <v>0.10249999999999999</v>
      </c>
      <c r="G460" s="2">
        <v>0</v>
      </c>
      <c r="H460" s="2" t="s">
        <v>14</v>
      </c>
      <c r="I460" s="2" t="s">
        <v>14</v>
      </c>
      <c r="J460" s="2" t="s">
        <v>14</v>
      </c>
      <c r="K460" s="2">
        <v>0</v>
      </c>
      <c r="L460" s="4">
        <v>0.03</v>
      </c>
    </row>
    <row r="461" spans="1:12" x14ac:dyDescent="0.25">
      <c r="A461" s="5">
        <v>45474</v>
      </c>
      <c r="B461" s="1" t="s">
        <v>23</v>
      </c>
      <c r="C461" s="1" t="s">
        <v>13</v>
      </c>
      <c r="D461" s="2">
        <v>5.3400000000000003E-2</v>
      </c>
      <c r="E461" s="3">
        <v>1</v>
      </c>
      <c r="F461" s="2">
        <v>0.10249999999999999</v>
      </c>
      <c r="G461" s="2">
        <v>0</v>
      </c>
      <c r="H461" s="2" t="s">
        <v>14</v>
      </c>
      <c r="I461" s="2" t="s">
        <v>14</v>
      </c>
      <c r="J461" s="2" t="s">
        <v>14</v>
      </c>
      <c r="K461" s="2">
        <v>0</v>
      </c>
      <c r="L461" s="4">
        <v>0.03</v>
      </c>
    </row>
    <row r="462" spans="1:12" x14ac:dyDescent="0.25">
      <c r="A462" s="5">
        <v>45474</v>
      </c>
      <c r="B462" s="1" t="s">
        <v>23</v>
      </c>
      <c r="C462" s="1" t="s">
        <v>17</v>
      </c>
      <c r="D462" s="2">
        <v>3.5400000000000001E-2</v>
      </c>
      <c r="E462" s="3">
        <v>1</v>
      </c>
      <c r="F462" s="2" t="s">
        <v>14</v>
      </c>
      <c r="G462" s="2">
        <v>0</v>
      </c>
      <c r="H462" s="2" t="s">
        <v>14</v>
      </c>
      <c r="I462" s="2">
        <v>0.08</v>
      </c>
      <c r="J462" s="2" t="s">
        <v>14</v>
      </c>
      <c r="K462" s="2">
        <v>0</v>
      </c>
      <c r="L462" s="4">
        <v>0.03</v>
      </c>
    </row>
    <row r="463" spans="1:12" x14ac:dyDescent="0.25">
      <c r="A463" s="5">
        <v>45474</v>
      </c>
      <c r="B463" s="1" t="s">
        <v>23</v>
      </c>
      <c r="C463" s="1" t="s">
        <v>21</v>
      </c>
      <c r="D463" s="2">
        <v>5.8999999999999997E-2</v>
      </c>
      <c r="E463" s="3">
        <v>1</v>
      </c>
      <c r="F463" s="2">
        <v>0.12</v>
      </c>
      <c r="G463" s="2">
        <v>0</v>
      </c>
      <c r="H463" s="2" t="s">
        <v>14</v>
      </c>
      <c r="I463" s="2" t="s">
        <v>14</v>
      </c>
      <c r="J463" s="2">
        <v>4.1500000000000002E-2</v>
      </c>
      <c r="K463" s="2">
        <v>0.6</v>
      </c>
      <c r="L463" s="4">
        <v>0.03</v>
      </c>
    </row>
    <row r="464" spans="1:12" x14ac:dyDescent="0.25">
      <c r="A464" s="5">
        <v>45474</v>
      </c>
      <c r="B464" s="1" t="s">
        <v>23</v>
      </c>
      <c r="C464" s="1" t="s">
        <v>22</v>
      </c>
      <c r="D464" s="2">
        <v>5.8999999999999997E-2</v>
      </c>
      <c r="E464" s="3">
        <v>1</v>
      </c>
      <c r="F464" s="2">
        <v>0.12</v>
      </c>
      <c r="G464" s="2">
        <v>0</v>
      </c>
      <c r="H464" s="2" t="s">
        <v>14</v>
      </c>
      <c r="I464" s="2" t="s">
        <v>14</v>
      </c>
      <c r="J464" s="2">
        <v>2.1499999999999998E-2</v>
      </c>
      <c r="K464" s="2">
        <v>0.24</v>
      </c>
      <c r="L464" s="4">
        <v>0.03</v>
      </c>
    </row>
    <row r="465" spans="1:12" x14ac:dyDescent="0.25">
      <c r="A465" s="5">
        <v>45474</v>
      </c>
      <c r="B465" s="1" t="s">
        <v>26</v>
      </c>
      <c r="C465" s="1" t="s">
        <v>24</v>
      </c>
      <c r="D465" s="2">
        <v>2.2847996789799298E-2</v>
      </c>
      <c r="E465" s="3">
        <v>2.4</v>
      </c>
      <c r="F465" s="2" t="s">
        <v>14</v>
      </c>
      <c r="G465" s="2">
        <v>0</v>
      </c>
      <c r="H465" s="2" t="s">
        <v>14</v>
      </c>
      <c r="I465" s="2" t="s">
        <v>14</v>
      </c>
      <c r="J465" s="2" t="s">
        <v>14</v>
      </c>
      <c r="K465" s="2">
        <v>0</v>
      </c>
      <c r="L465" s="4">
        <v>0.03</v>
      </c>
    </row>
    <row r="466" spans="1:12" x14ac:dyDescent="0.25">
      <c r="A466" s="5">
        <v>45474</v>
      </c>
      <c r="B466" s="1" t="s">
        <v>26</v>
      </c>
      <c r="C466" s="1" t="s">
        <v>25</v>
      </c>
      <c r="D466" s="2">
        <v>5.0999999999999997E-2</v>
      </c>
      <c r="E466" s="3">
        <v>1</v>
      </c>
      <c r="F466" s="2">
        <v>0.1</v>
      </c>
      <c r="G466" s="2">
        <v>0</v>
      </c>
      <c r="H466" s="2" t="s">
        <v>14</v>
      </c>
      <c r="I466" s="2" t="s">
        <v>14</v>
      </c>
      <c r="J466" s="2" t="s">
        <v>14</v>
      </c>
      <c r="K466" s="2">
        <v>0</v>
      </c>
      <c r="L466" s="4">
        <v>0.03</v>
      </c>
    </row>
    <row r="467" spans="1:12" x14ac:dyDescent="0.25">
      <c r="A467" s="5">
        <v>45474</v>
      </c>
      <c r="B467" s="1" t="s">
        <v>26</v>
      </c>
      <c r="C467" s="1" t="s">
        <v>13</v>
      </c>
      <c r="D467" s="2">
        <v>5.2499999999999998E-2</v>
      </c>
      <c r="E467" s="3">
        <v>1</v>
      </c>
      <c r="F467" s="2">
        <v>0.1</v>
      </c>
      <c r="G467" s="2">
        <v>0</v>
      </c>
      <c r="H467" s="2" t="s">
        <v>14</v>
      </c>
      <c r="I467" s="2" t="s">
        <v>14</v>
      </c>
      <c r="J467" s="2" t="s">
        <v>14</v>
      </c>
      <c r="K467" s="2">
        <v>0</v>
      </c>
      <c r="L467" s="4">
        <v>0.03</v>
      </c>
    </row>
    <row r="468" spans="1:12" x14ac:dyDescent="0.25">
      <c r="A468" s="5">
        <v>45474</v>
      </c>
      <c r="B468" s="1" t="s">
        <v>26</v>
      </c>
      <c r="C468" s="1" t="s">
        <v>17</v>
      </c>
      <c r="D468" s="2">
        <v>3.5400000000000001E-2</v>
      </c>
      <c r="E468" s="3">
        <v>1</v>
      </c>
      <c r="F468" s="2" t="s">
        <v>14</v>
      </c>
      <c r="G468" s="2">
        <v>0</v>
      </c>
      <c r="H468" s="2" t="s">
        <v>14</v>
      </c>
      <c r="I468" s="2">
        <v>0.08</v>
      </c>
      <c r="J468" s="2" t="s">
        <v>14</v>
      </c>
      <c r="K468" s="2">
        <v>0</v>
      </c>
      <c r="L468" s="4">
        <v>0.03</v>
      </c>
    </row>
    <row r="469" spans="1:12" x14ac:dyDescent="0.25">
      <c r="A469" s="5">
        <v>45474</v>
      </c>
      <c r="B469" s="1" t="s">
        <v>26</v>
      </c>
      <c r="C469" s="1" t="s">
        <v>21</v>
      </c>
      <c r="D469" s="2">
        <v>5.8999999999999997E-2</v>
      </c>
      <c r="E469" s="3">
        <v>1</v>
      </c>
      <c r="F469" s="2">
        <v>0.12</v>
      </c>
      <c r="G469" s="2">
        <v>0</v>
      </c>
      <c r="H469" s="2" t="s">
        <v>14</v>
      </c>
      <c r="I469" s="2" t="s">
        <v>14</v>
      </c>
      <c r="J469" s="2">
        <v>4.1500000000000002E-2</v>
      </c>
      <c r="K469" s="2">
        <v>0.6</v>
      </c>
      <c r="L469" s="4">
        <v>0.03</v>
      </c>
    </row>
    <row r="470" spans="1:12" x14ac:dyDescent="0.25">
      <c r="A470" s="5">
        <v>45474</v>
      </c>
      <c r="B470" s="1" t="s">
        <v>26</v>
      </c>
      <c r="C470" s="1" t="s">
        <v>22</v>
      </c>
      <c r="D470" s="2">
        <v>5.8999999999999997E-2</v>
      </c>
      <c r="E470" s="3">
        <v>1</v>
      </c>
      <c r="F470" s="2">
        <v>0.12</v>
      </c>
      <c r="G470" s="2">
        <v>0</v>
      </c>
      <c r="H470" s="2" t="s">
        <v>14</v>
      </c>
      <c r="I470" s="2" t="s">
        <v>14</v>
      </c>
      <c r="J470" s="2">
        <v>2.1499999999999998E-2</v>
      </c>
      <c r="K470" s="2">
        <v>0.24</v>
      </c>
      <c r="L470" s="4">
        <v>0.03</v>
      </c>
    </row>
    <row r="471" spans="1:12" x14ac:dyDescent="0.25">
      <c r="A471" s="5">
        <v>45474</v>
      </c>
      <c r="B471" s="1" t="s">
        <v>27</v>
      </c>
      <c r="C471" s="1" t="s">
        <v>13</v>
      </c>
      <c r="D471" s="2">
        <v>4.9558797828313822E-2</v>
      </c>
      <c r="E471" s="3">
        <v>1</v>
      </c>
      <c r="F471" s="2">
        <v>9.2499999999999999E-2</v>
      </c>
      <c r="G471" s="2">
        <v>0</v>
      </c>
      <c r="H471" s="2" t="s">
        <v>14</v>
      </c>
      <c r="I471" s="2" t="s">
        <v>14</v>
      </c>
      <c r="J471" s="2" t="s">
        <v>14</v>
      </c>
      <c r="K471" s="2">
        <v>0</v>
      </c>
      <c r="L471" s="4">
        <v>0.03</v>
      </c>
    </row>
    <row r="472" spans="1:12" x14ac:dyDescent="0.25">
      <c r="A472" s="5">
        <v>45474</v>
      </c>
      <c r="B472" s="1" t="s">
        <v>27</v>
      </c>
      <c r="C472" s="1" t="s">
        <v>17</v>
      </c>
      <c r="D472" s="2">
        <v>3.114668321339302E-2</v>
      </c>
      <c r="E472" s="3">
        <v>1</v>
      </c>
      <c r="F472" s="2" t="s">
        <v>14</v>
      </c>
      <c r="G472" s="2">
        <v>0</v>
      </c>
      <c r="H472" s="2" t="s">
        <v>14</v>
      </c>
      <c r="I472" s="2">
        <v>0.09</v>
      </c>
      <c r="J472" s="2" t="s">
        <v>14</v>
      </c>
      <c r="K472" s="2">
        <v>0</v>
      </c>
      <c r="L472" s="4">
        <v>0.03</v>
      </c>
    </row>
    <row r="473" spans="1:12" x14ac:dyDescent="0.25">
      <c r="A473" s="5">
        <v>45474</v>
      </c>
      <c r="B473" s="1" t="s">
        <v>27</v>
      </c>
      <c r="C473" s="1" t="s">
        <v>24</v>
      </c>
      <c r="D473" s="2">
        <v>2.2847996789799298E-2</v>
      </c>
      <c r="E473" s="3">
        <v>2.2000000000000002</v>
      </c>
      <c r="F473" s="2" t="s">
        <v>14</v>
      </c>
      <c r="G473" s="2">
        <v>0</v>
      </c>
      <c r="H473" s="2" t="s">
        <v>14</v>
      </c>
      <c r="I473" s="2" t="s">
        <v>14</v>
      </c>
      <c r="J473" s="2" t="s">
        <v>14</v>
      </c>
      <c r="K473" s="2">
        <v>0</v>
      </c>
      <c r="L473" s="4">
        <v>0.03</v>
      </c>
    </row>
    <row r="474" spans="1:12" x14ac:dyDescent="0.25">
      <c r="A474" s="5">
        <v>45474</v>
      </c>
      <c r="B474" s="1" t="s">
        <v>27</v>
      </c>
      <c r="C474" s="1" t="s">
        <v>25</v>
      </c>
      <c r="D474" s="2">
        <v>4.7924444993471517E-2</v>
      </c>
      <c r="E474" s="3">
        <v>1</v>
      </c>
      <c r="F474" s="2">
        <v>9.2499999999999999E-2</v>
      </c>
      <c r="G474" s="2">
        <v>0</v>
      </c>
      <c r="H474" s="2" t="s">
        <v>14</v>
      </c>
      <c r="I474" s="2" t="s">
        <v>14</v>
      </c>
      <c r="J474" s="2" t="s">
        <v>14</v>
      </c>
      <c r="K474" s="2">
        <v>0</v>
      </c>
      <c r="L474" s="4">
        <v>0.03</v>
      </c>
    </row>
    <row r="475" spans="1:12" x14ac:dyDescent="0.25">
      <c r="A475" s="5">
        <v>45474</v>
      </c>
      <c r="B475" s="1" t="s">
        <v>30</v>
      </c>
      <c r="C475" s="1" t="s">
        <v>13</v>
      </c>
      <c r="D475" s="2">
        <v>5.0553780181722956E-2</v>
      </c>
      <c r="E475" s="3">
        <v>1</v>
      </c>
      <c r="F475" s="2">
        <v>9.5000000000000001E-2</v>
      </c>
      <c r="G475" s="2">
        <v>0</v>
      </c>
      <c r="H475" s="2" t="s">
        <v>14</v>
      </c>
      <c r="I475" s="2" t="s">
        <v>14</v>
      </c>
      <c r="J475" s="2" t="s">
        <v>14</v>
      </c>
      <c r="K475" s="2">
        <v>0</v>
      </c>
      <c r="L475" s="4">
        <v>0.03</v>
      </c>
    </row>
    <row r="476" spans="1:12" x14ac:dyDescent="0.25">
      <c r="A476" s="5">
        <v>45474</v>
      </c>
      <c r="B476" s="1" t="s">
        <v>30</v>
      </c>
      <c r="C476" s="1" t="s">
        <v>17</v>
      </c>
      <c r="D476" s="2">
        <v>3.114668321339302E-2</v>
      </c>
      <c r="E476" s="3">
        <v>1</v>
      </c>
      <c r="F476" s="2" t="s">
        <v>14</v>
      </c>
      <c r="G476" s="2">
        <v>0</v>
      </c>
      <c r="H476" s="2" t="s">
        <v>14</v>
      </c>
      <c r="I476" s="2">
        <v>0.09</v>
      </c>
      <c r="J476" s="2" t="s">
        <v>14</v>
      </c>
      <c r="K476" s="2">
        <v>0</v>
      </c>
      <c r="L476" s="4">
        <v>0.03</v>
      </c>
    </row>
    <row r="477" spans="1:12" x14ac:dyDescent="0.25">
      <c r="A477" s="5">
        <v>45474</v>
      </c>
      <c r="B477" s="1" t="s">
        <v>30</v>
      </c>
      <c r="C477" s="1" t="s">
        <v>24</v>
      </c>
      <c r="D477" s="2">
        <v>2.2847996789799298E-2</v>
      </c>
      <c r="E477" s="3">
        <v>2.2000000000000002</v>
      </c>
      <c r="F477" s="2" t="s">
        <v>14</v>
      </c>
      <c r="G477" s="2">
        <v>0</v>
      </c>
      <c r="H477" s="2" t="s">
        <v>14</v>
      </c>
      <c r="I477" s="2" t="s">
        <v>14</v>
      </c>
      <c r="J477" s="2" t="s">
        <v>14</v>
      </c>
      <c r="K477" s="2">
        <v>0</v>
      </c>
      <c r="L477" s="4">
        <v>0.03</v>
      </c>
    </row>
    <row r="478" spans="1:12" x14ac:dyDescent="0.25">
      <c r="A478" s="5">
        <v>45474</v>
      </c>
      <c r="B478" s="1" t="s">
        <v>30</v>
      </c>
      <c r="C478" s="1" t="s">
        <v>25</v>
      </c>
      <c r="D478" s="2">
        <v>4.8967152559135634E-2</v>
      </c>
      <c r="E478" s="3">
        <v>1</v>
      </c>
      <c r="F478" s="2">
        <v>9.5000000000000001E-2</v>
      </c>
      <c r="G478" s="2">
        <v>0</v>
      </c>
      <c r="H478" s="2" t="s">
        <v>14</v>
      </c>
      <c r="I478" s="2" t="s">
        <v>14</v>
      </c>
      <c r="J478" s="2" t="s">
        <v>14</v>
      </c>
      <c r="K478" s="2">
        <v>0</v>
      </c>
      <c r="L478" s="4">
        <v>0.03</v>
      </c>
    </row>
    <row r="479" spans="1:12" x14ac:dyDescent="0.25">
      <c r="A479" s="5">
        <v>45474</v>
      </c>
      <c r="B479" s="1" t="s">
        <v>28</v>
      </c>
      <c r="C479" s="1" t="s">
        <v>13</v>
      </c>
      <c r="D479" s="2">
        <v>4.65E-2</v>
      </c>
      <c r="E479" s="3">
        <v>1</v>
      </c>
      <c r="F479" s="2">
        <v>8.5000000000000006E-2</v>
      </c>
      <c r="G479" s="2">
        <v>0</v>
      </c>
      <c r="H479" s="2" t="s">
        <v>14</v>
      </c>
      <c r="I479" s="2" t="s">
        <v>14</v>
      </c>
      <c r="J479" s="2" t="s">
        <v>14</v>
      </c>
      <c r="K479" s="2">
        <v>0</v>
      </c>
      <c r="L479" s="4">
        <v>0.03</v>
      </c>
    </row>
    <row r="480" spans="1:12" x14ac:dyDescent="0.25">
      <c r="A480" s="5">
        <v>45474</v>
      </c>
      <c r="B480" s="1" t="s">
        <v>28</v>
      </c>
      <c r="C480" s="1" t="s">
        <v>16</v>
      </c>
      <c r="D480" s="2">
        <v>3.0200000000000001E-2</v>
      </c>
      <c r="E480" s="3">
        <v>1</v>
      </c>
      <c r="F480" s="2">
        <v>7.0000000000000007E-2</v>
      </c>
      <c r="G480" s="2">
        <v>1.4999999999999999E-2</v>
      </c>
      <c r="H480" s="2" t="s">
        <v>14</v>
      </c>
      <c r="I480" s="2" t="s">
        <v>14</v>
      </c>
      <c r="J480" s="2" t="s">
        <v>14</v>
      </c>
      <c r="K480" s="2">
        <v>0</v>
      </c>
      <c r="L480" s="4">
        <v>0.03</v>
      </c>
    </row>
    <row r="481" spans="1:12" x14ac:dyDescent="0.25">
      <c r="A481" s="5">
        <v>45474</v>
      </c>
      <c r="B481" s="1" t="s">
        <v>28</v>
      </c>
      <c r="C481" s="1" t="s">
        <v>17</v>
      </c>
      <c r="D481" s="2">
        <v>3.6499999999999998E-2</v>
      </c>
      <c r="E481" s="3">
        <v>1</v>
      </c>
      <c r="F481" s="2" t="s">
        <v>14</v>
      </c>
      <c r="G481" s="2">
        <v>0</v>
      </c>
      <c r="H481" s="2" t="s">
        <v>14</v>
      </c>
      <c r="I481" s="2">
        <v>7.7499999999999999E-2</v>
      </c>
      <c r="J481" s="2" t="s">
        <v>14</v>
      </c>
      <c r="K481" s="2">
        <v>0</v>
      </c>
      <c r="L481" s="4">
        <v>0.03</v>
      </c>
    </row>
    <row r="482" spans="1:12" x14ac:dyDescent="0.25">
      <c r="A482" s="5">
        <v>45474</v>
      </c>
      <c r="B482" s="1" t="s">
        <v>28</v>
      </c>
      <c r="C482" s="1" t="s">
        <v>18</v>
      </c>
      <c r="D482" s="2">
        <v>4.7699999999999999E-2</v>
      </c>
      <c r="E482" s="3">
        <v>1</v>
      </c>
      <c r="F482" s="2" t="s">
        <v>14</v>
      </c>
      <c r="G482" s="2">
        <v>0</v>
      </c>
      <c r="H482" s="2">
        <v>6.5000000000000002E-2</v>
      </c>
      <c r="I482" s="2" t="s">
        <v>14</v>
      </c>
      <c r="J482" s="2" t="s">
        <v>14</v>
      </c>
      <c r="K482" s="2">
        <v>0</v>
      </c>
      <c r="L482" s="4">
        <v>0.03</v>
      </c>
    </row>
    <row r="483" spans="1:12" x14ac:dyDescent="0.25">
      <c r="A483" s="5">
        <v>45474</v>
      </c>
      <c r="B483" s="1" t="s">
        <v>29</v>
      </c>
      <c r="C483" s="1" t="s">
        <v>13</v>
      </c>
      <c r="D483" s="2">
        <v>4.3200000000000002E-2</v>
      </c>
      <c r="E483" s="3">
        <v>1</v>
      </c>
      <c r="F483" s="2">
        <v>7.7499999999999999E-2</v>
      </c>
      <c r="G483" s="2">
        <v>0</v>
      </c>
      <c r="H483" s="2" t="s">
        <v>14</v>
      </c>
      <c r="I483" s="2" t="s">
        <v>14</v>
      </c>
      <c r="J483" s="2" t="s">
        <v>14</v>
      </c>
      <c r="K483" s="2">
        <v>0</v>
      </c>
      <c r="L483" s="4">
        <v>0.03</v>
      </c>
    </row>
    <row r="484" spans="1:12" x14ac:dyDescent="0.25">
      <c r="A484" s="5">
        <v>45474</v>
      </c>
      <c r="B484" s="1" t="s">
        <v>29</v>
      </c>
      <c r="C484" s="1" t="s">
        <v>16</v>
      </c>
      <c r="D484" s="2">
        <v>2.4199999999999999E-2</v>
      </c>
      <c r="E484" s="3">
        <v>1</v>
      </c>
      <c r="F484" s="2">
        <v>5.7500000000000002E-2</v>
      </c>
      <c r="G484" s="2">
        <v>1.4999999999999999E-2</v>
      </c>
      <c r="H484" s="2" t="s">
        <v>14</v>
      </c>
      <c r="I484" s="2" t="s">
        <v>14</v>
      </c>
      <c r="J484" s="2" t="s">
        <v>14</v>
      </c>
      <c r="K484" s="2">
        <v>0</v>
      </c>
      <c r="L484" s="4">
        <v>0.03</v>
      </c>
    </row>
    <row r="485" spans="1:12" x14ac:dyDescent="0.25">
      <c r="A485" s="5">
        <v>45474</v>
      </c>
      <c r="B485" s="1" t="s">
        <v>29</v>
      </c>
      <c r="C485" s="1" t="s">
        <v>17</v>
      </c>
      <c r="D485" s="2">
        <v>3.2399999999999998E-2</v>
      </c>
      <c r="E485" s="3">
        <v>1</v>
      </c>
      <c r="F485" s="2" t="s">
        <v>14</v>
      </c>
      <c r="G485" s="2">
        <v>0</v>
      </c>
      <c r="H485" s="2" t="s">
        <v>14</v>
      </c>
      <c r="I485" s="2">
        <v>8.6999999999999994E-2</v>
      </c>
      <c r="J485" s="2" t="s">
        <v>14</v>
      </c>
      <c r="K485" s="2">
        <v>0</v>
      </c>
      <c r="L485" s="4">
        <v>0.03</v>
      </c>
    </row>
    <row r="486" spans="1:12" x14ac:dyDescent="0.25">
      <c r="A486" s="5">
        <v>45474</v>
      </c>
      <c r="B486" s="1" t="s">
        <v>29</v>
      </c>
      <c r="C486" s="1" t="s">
        <v>18</v>
      </c>
      <c r="D486" s="2">
        <v>4.19E-2</v>
      </c>
      <c r="E486" s="3">
        <v>1</v>
      </c>
      <c r="F486" s="2" t="s">
        <v>14</v>
      </c>
      <c r="G486" s="2">
        <v>0</v>
      </c>
      <c r="H486" s="2">
        <v>5.7000000000000002E-2</v>
      </c>
      <c r="I486" s="2" t="s">
        <v>14</v>
      </c>
      <c r="J486" s="2" t="s">
        <v>14</v>
      </c>
      <c r="K486" s="2">
        <v>0</v>
      </c>
      <c r="L486" s="4">
        <v>0.03</v>
      </c>
    </row>
    <row r="487" spans="1:12" x14ac:dyDescent="0.25">
      <c r="A487" s="5">
        <v>45505</v>
      </c>
      <c r="B487" s="1" t="s">
        <v>12</v>
      </c>
      <c r="C487" s="1" t="s">
        <v>13</v>
      </c>
      <c r="D487" s="2">
        <v>5.0900000000000001E-2</v>
      </c>
      <c r="E487" s="3">
        <v>1</v>
      </c>
      <c r="F487" s="2">
        <v>9.7500000000000003E-2</v>
      </c>
      <c r="G487" s="2">
        <v>0</v>
      </c>
      <c r="H487" s="2" t="s">
        <v>14</v>
      </c>
      <c r="I487" s="2" t="s">
        <v>14</v>
      </c>
      <c r="J487" s="2" t="s">
        <v>14</v>
      </c>
      <c r="K487" s="2">
        <v>0</v>
      </c>
      <c r="L487" s="4">
        <v>0.03</v>
      </c>
    </row>
    <row r="488" spans="1:12" x14ac:dyDescent="0.25">
      <c r="A488" s="5">
        <v>45505</v>
      </c>
      <c r="B488" s="1" t="s">
        <v>15</v>
      </c>
      <c r="C488" s="1" t="s">
        <v>13</v>
      </c>
      <c r="D488" s="2">
        <v>5.0900000000000001E-2</v>
      </c>
      <c r="E488" s="3">
        <v>1</v>
      </c>
      <c r="F488" s="2">
        <v>9.7500000000000003E-2</v>
      </c>
      <c r="G488" s="2">
        <v>0</v>
      </c>
      <c r="H488" s="2" t="s">
        <v>14</v>
      </c>
      <c r="I488" s="2" t="s">
        <v>14</v>
      </c>
      <c r="J488" s="2" t="s">
        <v>14</v>
      </c>
      <c r="K488" s="2">
        <v>0</v>
      </c>
      <c r="L488" s="4">
        <v>0.03</v>
      </c>
    </row>
    <row r="489" spans="1:12" x14ac:dyDescent="0.25">
      <c r="A489" s="5">
        <v>45505</v>
      </c>
      <c r="B489" s="1" t="s">
        <v>15</v>
      </c>
      <c r="C489" s="1" t="s">
        <v>16</v>
      </c>
      <c r="D489" s="2">
        <v>3.6400000000000002E-2</v>
      </c>
      <c r="E489" s="3">
        <v>1</v>
      </c>
      <c r="F489" s="2">
        <v>8.5000000000000006E-2</v>
      </c>
      <c r="G489" s="2">
        <v>1.4999999999999999E-2</v>
      </c>
      <c r="H489" s="2" t="s">
        <v>14</v>
      </c>
      <c r="I489" s="2" t="s">
        <v>14</v>
      </c>
      <c r="J489" s="2" t="s">
        <v>14</v>
      </c>
      <c r="K489" s="2">
        <v>0</v>
      </c>
      <c r="L489" s="4">
        <v>0.03</v>
      </c>
    </row>
    <row r="490" spans="1:12" x14ac:dyDescent="0.25">
      <c r="A490" s="5">
        <v>45505</v>
      </c>
      <c r="B490" s="1" t="s">
        <v>15</v>
      </c>
      <c r="C490" s="1" t="s">
        <v>17</v>
      </c>
      <c r="D490" s="2">
        <v>3.44E-2</v>
      </c>
      <c r="E490" s="3">
        <v>1</v>
      </c>
      <c r="F490" s="2" t="s">
        <v>14</v>
      </c>
      <c r="G490" s="2">
        <v>0</v>
      </c>
      <c r="H490" s="2" t="s">
        <v>14</v>
      </c>
      <c r="I490" s="2">
        <v>0.08</v>
      </c>
      <c r="J490" s="2" t="s">
        <v>14</v>
      </c>
      <c r="K490" s="2">
        <v>0</v>
      </c>
      <c r="L490" s="4">
        <v>0.03</v>
      </c>
    </row>
    <row r="491" spans="1:12" x14ac:dyDescent="0.25">
      <c r="A491" s="5">
        <v>45505</v>
      </c>
      <c r="B491" s="1" t="s">
        <v>15</v>
      </c>
      <c r="C491" s="1" t="s">
        <v>18</v>
      </c>
      <c r="D491" s="2">
        <v>5.4899999999999997E-2</v>
      </c>
      <c r="E491" s="3">
        <v>1</v>
      </c>
      <c r="F491" s="2" t="s">
        <v>14</v>
      </c>
      <c r="G491" s="2">
        <v>0</v>
      </c>
      <c r="H491" s="2">
        <v>7.4999999999999997E-2</v>
      </c>
      <c r="I491" s="2" t="s">
        <v>14</v>
      </c>
      <c r="J491" s="2" t="s">
        <v>14</v>
      </c>
      <c r="K491" s="2">
        <v>0</v>
      </c>
      <c r="L491" s="4">
        <v>0.03</v>
      </c>
    </row>
    <row r="492" spans="1:12" x14ac:dyDescent="0.25">
      <c r="A492" s="5">
        <v>45505</v>
      </c>
      <c r="B492" s="1" t="s">
        <v>19</v>
      </c>
      <c r="C492" s="1" t="s">
        <v>13</v>
      </c>
      <c r="D492" s="2">
        <v>4.0500000000000001E-2</v>
      </c>
      <c r="E492" s="3">
        <v>1</v>
      </c>
      <c r="F492" s="2">
        <v>7.2499999999999995E-2</v>
      </c>
      <c r="G492" s="2">
        <v>0</v>
      </c>
      <c r="H492" s="2" t="s">
        <v>14</v>
      </c>
      <c r="I492" s="2" t="s">
        <v>14</v>
      </c>
      <c r="J492" s="2" t="s">
        <v>14</v>
      </c>
      <c r="K492" s="2">
        <v>0</v>
      </c>
      <c r="L492" s="4">
        <v>0.03</v>
      </c>
    </row>
    <row r="493" spans="1:12" x14ac:dyDescent="0.25">
      <c r="A493" s="5">
        <v>45505</v>
      </c>
      <c r="B493" s="1" t="s">
        <v>19</v>
      </c>
      <c r="C493" s="1" t="s">
        <v>16</v>
      </c>
      <c r="D493" s="2">
        <v>3.4299999999999997E-2</v>
      </c>
      <c r="E493" s="3">
        <v>1</v>
      </c>
      <c r="F493" s="2">
        <v>0.06</v>
      </c>
      <c r="G493" s="2">
        <v>1.4999999999999999E-2</v>
      </c>
      <c r="H493" s="2" t="s">
        <v>14</v>
      </c>
      <c r="I493" s="2" t="s">
        <v>14</v>
      </c>
      <c r="J493" s="2" t="s">
        <v>14</v>
      </c>
      <c r="K493" s="2">
        <v>0</v>
      </c>
      <c r="L493" s="4">
        <v>0.03</v>
      </c>
    </row>
    <row r="494" spans="1:12" x14ac:dyDescent="0.25">
      <c r="A494" s="5">
        <v>45505</v>
      </c>
      <c r="B494" s="1" t="s">
        <v>19</v>
      </c>
      <c r="C494" s="1" t="s">
        <v>17</v>
      </c>
      <c r="D494" s="2">
        <v>3.0300000000000001E-2</v>
      </c>
      <c r="E494" s="3">
        <v>1</v>
      </c>
      <c r="F494" s="2" t="s">
        <v>14</v>
      </c>
      <c r="G494" s="2">
        <v>0</v>
      </c>
      <c r="H494" s="2" t="s">
        <v>14</v>
      </c>
      <c r="I494" s="2">
        <v>0.09</v>
      </c>
      <c r="J494" s="2" t="s">
        <v>14</v>
      </c>
      <c r="K494" s="2">
        <v>0</v>
      </c>
      <c r="L494" s="4">
        <v>0.03</v>
      </c>
    </row>
    <row r="495" spans="1:12" x14ac:dyDescent="0.25">
      <c r="A495" s="5">
        <v>45505</v>
      </c>
      <c r="B495" s="1" t="s">
        <v>19</v>
      </c>
      <c r="C495" s="1" t="s">
        <v>18</v>
      </c>
      <c r="D495" s="2">
        <v>4.3900000000000002E-2</v>
      </c>
      <c r="E495" s="3">
        <v>1</v>
      </c>
      <c r="F495" s="2" t="s">
        <v>14</v>
      </c>
      <c r="G495" s="2">
        <v>0</v>
      </c>
      <c r="H495" s="2">
        <v>0.06</v>
      </c>
      <c r="I495" s="2" t="s">
        <v>14</v>
      </c>
      <c r="J495" s="2" t="s">
        <v>14</v>
      </c>
      <c r="K495" s="2">
        <v>0</v>
      </c>
      <c r="L495" s="4">
        <v>0.03</v>
      </c>
    </row>
    <row r="496" spans="1:12" x14ac:dyDescent="0.25">
      <c r="A496" s="5">
        <v>45505</v>
      </c>
      <c r="B496" s="1" t="s">
        <v>20</v>
      </c>
      <c r="C496" s="1" t="s">
        <v>13</v>
      </c>
      <c r="D496" s="2">
        <v>5.0900000000000001E-2</v>
      </c>
      <c r="E496" s="3">
        <v>1</v>
      </c>
      <c r="F496" s="2">
        <v>9.7500000000000003E-2</v>
      </c>
      <c r="G496" s="2">
        <v>0</v>
      </c>
      <c r="H496" s="2" t="s">
        <v>14</v>
      </c>
      <c r="I496" s="2" t="s">
        <v>14</v>
      </c>
      <c r="J496" s="2" t="s">
        <v>14</v>
      </c>
      <c r="K496" s="2">
        <v>0</v>
      </c>
      <c r="L496" s="4">
        <v>0.03</v>
      </c>
    </row>
    <row r="497" spans="1:12" x14ac:dyDescent="0.25">
      <c r="A497" s="5">
        <v>45505</v>
      </c>
      <c r="B497" s="1" t="s">
        <v>20</v>
      </c>
      <c r="C497" s="1" t="s">
        <v>17</v>
      </c>
      <c r="D497" s="2">
        <v>3.44E-2</v>
      </c>
      <c r="E497" s="3">
        <v>1</v>
      </c>
      <c r="F497" s="2" t="s">
        <v>14</v>
      </c>
      <c r="G497" s="2">
        <v>0</v>
      </c>
      <c r="H497" s="2" t="s">
        <v>14</v>
      </c>
      <c r="I497" s="2">
        <v>0.08</v>
      </c>
      <c r="J497" s="2" t="s">
        <v>14</v>
      </c>
      <c r="K497" s="2">
        <v>0</v>
      </c>
      <c r="L497" s="4">
        <v>0.03</v>
      </c>
    </row>
    <row r="498" spans="1:12" x14ac:dyDescent="0.25">
      <c r="A498" s="5">
        <v>45505</v>
      </c>
      <c r="B498" s="1" t="s">
        <v>20</v>
      </c>
      <c r="C498" s="1" t="s">
        <v>21</v>
      </c>
      <c r="D498" s="2">
        <v>5.8099999999999999E-2</v>
      </c>
      <c r="E498" s="3">
        <v>1</v>
      </c>
      <c r="F498" s="2">
        <v>0.12</v>
      </c>
      <c r="G498" s="2">
        <v>0</v>
      </c>
      <c r="H498" s="2" t="s">
        <v>14</v>
      </c>
      <c r="I498" s="2" t="s">
        <v>14</v>
      </c>
      <c r="J498" s="2">
        <v>4.1500000000000002E-2</v>
      </c>
      <c r="K498" s="2">
        <v>0.6</v>
      </c>
      <c r="L498" s="4">
        <v>0.03</v>
      </c>
    </row>
    <row r="499" spans="1:12" x14ac:dyDescent="0.25">
      <c r="A499" s="5">
        <v>45505</v>
      </c>
      <c r="B499" s="1" t="s">
        <v>20</v>
      </c>
      <c r="C499" s="1" t="s">
        <v>22</v>
      </c>
      <c r="D499" s="2">
        <v>5.8099999999999999E-2</v>
      </c>
      <c r="E499" s="3">
        <v>1</v>
      </c>
      <c r="F499" s="2">
        <v>0.12</v>
      </c>
      <c r="G499" s="2">
        <v>0</v>
      </c>
      <c r="H499" s="2" t="s">
        <v>14</v>
      </c>
      <c r="I499" s="2" t="s">
        <v>14</v>
      </c>
      <c r="J499" s="2">
        <v>2.1499999999999998E-2</v>
      </c>
      <c r="K499" s="2">
        <v>0.24</v>
      </c>
      <c r="L499" s="4">
        <v>0.03</v>
      </c>
    </row>
    <row r="500" spans="1:12" x14ac:dyDescent="0.25">
      <c r="A500" s="5">
        <v>45505</v>
      </c>
      <c r="B500" s="1" t="s">
        <v>23</v>
      </c>
      <c r="C500" s="1" t="s">
        <v>24</v>
      </c>
      <c r="D500" s="2">
        <v>2.2949996936224765E-2</v>
      </c>
      <c r="E500" s="3">
        <v>2.4</v>
      </c>
      <c r="F500" s="2" t="s">
        <v>14</v>
      </c>
      <c r="G500" s="2">
        <v>0</v>
      </c>
      <c r="H500" s="2" t="s">
        <v>14</v>
      </c>
      <c r="I500" s="2" t="s">
        <v>14</v>
      </c>
      <c r="J500" s="2" t="s">
        <v>14</v>
      </c>
      <c r="K500" s="2">
        <v>0</v>
      </c>
      <c r="L500" s="4">
        <v>0.03</v>
      </c>
    </row>
    <row r="501" spans="1:12" x14ac:dyDescent="0.25">
      <c r="A501" s="5">
        <v>45505</v>
      </c>
      <c r="B501" s="1" t="s">
        <v>23</v>
      </c>
      <c r="C501" s="1" t="s">
        <v>25</v>
      </c>
      <c r="D501" s="2">
        <v>5.1143166674967995E-2</v>
      </c>
      <c r="E501" s="3">
        <v>1</v>
      </c>
      <c r="F501" s="2">
        <v>0.10249999999999999</v>
      </c>
      <c r="G501" s="2">
        <v>0</v>
      </c>
      <c r="H501" s="2" t="s">
        <v>14</v>
      </c>
      <c r="I501" s="2" t="s">
        <v>14</v>
      </c>
      <c r="J501" s="2" t="s">
        <v>14</v>
      </c>
      <c r="K501" s="2">
        <v>0</v>
      </c>
      <c r="L501" s="4">
        <v>0.03</v>
      </c>
    </row>
    <row r="502" spans="1:12" x14ac:dyDescent="0.25">
      <c r="A502" s="5">
        <v>45505</v>
      </c>
      <c r="B502" s="1" t="s">
        <v>23</v>
      </c>
      <c r="C502" s="1" t="s">
        <v>13</v>
      </c>
      <c r="D502" s="2">
        <v>5.2699999999999997E-2</v>
      </c>
      <c r="E502" s="3">
        <v>1</v>
      </c>
      <c r="F502" s="2">
        <v>0.10249999999999999</v>
      </c>
      <c r="G502" s="2">
        <v>0</v>
      </c>
      <c r="H502" s="2" t="s">
        <v>14</v>
      </c>
      <c r="I502" s="2" t="s">
        <v>14</v>
      </c>
      <c r="J502" s="2" t="s">
        <v>14</v>
      </c>
      <c r="K502" s="2">
        <v>0</v>
      </c>
      <c r="L502" s="4">
        <v>0.03</v>
      </c>
    </row>
    <row r="503" spans="1:12" x14ac:dyDescent="0.25">
      <c r="A503" s="5">
        <v>45505</v>
      </c>
      <c r="B503" s="1" t="s">
        <v>23</v>
      </c>
      <c r="C503" s="1" t="s">
        <v>17</v>
      </c>
      <c r="D503" s="2">
        <v>3.44E-2</v>
      </c>
      <c r="E503" s="3">
        <v>1</v>
      </c>
      <c r="F503" s="2" t="s">
        <v>14</v>
      </c>
      <c r="G503" s="2">
        <v>0</v>
      </c>
      <c r="H503" s="2" t="s">
        <v>14</v>
      </c>
      <c r="I503" s="2">
        <v>0.08</v>
      </c>
      <c r="J503" s="2" t="s">
        <v>14</v>
      </c>
      <c r="K503" s="2">
        <v>0</v>
      </c>
      <c r="L503" s="4">
        <v>0.03</v>
      </c>
    </row>
    <row r="504" spans="1:12" x14ac:dyDescent="0.25">
      <c r="A504" s="5">
        <v>45505</v>
      </c>
      <c r="B504" s="1" t="s">
        <v>23</v>
      </c>
      <c r="C504" s="1" t="s">
        <v>21</v>
      </c>
      <c r="D504" s="2">
        <v>5.8099999999999999E-2</v>
      </c>
      <c r="E504" s="3">
        <v>1</v>
      </c>
      <c r="F504" s="2">
        <v>0.12</v>
      </c>
      <c r="G504" s="2">
        <v>0</v>
      </c>
      <c r="H504" s="2" t="s">
        <v>14</v>
      </c>
      <c r="I504" s="2" t="s">
        <v>14</v>
      </c>
      <c r="J504" s="2">
        <v>4.1500000000000002E-2</v>
      </c>
      <c r="K504" s="2">
        <v>0.6</v>
      </c>
      <c r="L504" s="4">
        <v>0.03</v>
      </c>
    </row>
    <row r="505" spans="1:12" x14ac:dyDescent="0.25">
      <c r="A505" s="5">
        <v>45505</v>
      </c>
      <c r="B505" s="1" t="s">
        <v>23</v>
      </c>
      <c r="C505" s="1" t="s">
        <v>22</v>
      </c>
      <c r="D505" s="2">
        <v>5.8099999999999999E-2</v>
      </c>
      <c r="E505" s="3">
        <v>1</v>
      </c>
      <c r="F505" s="2">
        <v>0.12</v>
      </c>
      <c r="G505" s="2">
        <v>0</v>
      </c>
      <c r="H505" s="2" t="s">
        <v>14</v>
      </c>
      <c r="I505" s="2" t="s">
        <v>14</v>
      </c>
      <c r="J505" s="2">
        <v>2.1499999999999998E-2</v>
      </c>
      <c r="K505" s="2">
        <v>0.24</v>
      </c>
      <c r="L505" s="4">
        <v>0.03</v>
      </c>
    </row>
    <row r="506" spans="1:12" x14ac:dyDescent="0.25">
      <c r="A506" s="5">
        <v>45505</v>
      </c>
      <c r="B506" s="1" t="s">
        <v>26</v>
      </c>
      <c r="C506" s="1" t="s">
        <v>24</v>
      </c>
      <c r="D506" s="2">
        <v>2.2949996936224765E-2</v>
      </c>
      <c r="E506" s="3">
        <v>2.4</v>
      </c>
      <c r="F506" s="2" t="s">
        <v>14</v>
      </c>
      <c r="G506" s="2">
        <v>0</v>
      </c>
      <c r="H506" s="2" t="s">
        <v>14</v>
      </c>
      <c r="I506" s="2" t="s">
        <v>14</v>
      </c>
      <c r="J506" s="2" t="s">
        <v>14</v>
      </c>
      <c r="K506" s="2">
        <v>0</v>
      </c>
      <c r="L506" s="4">
        <v>0.03</v>
      </c>
    </row>
    <row r="507" spans="1:12" x14ac:dyDescent="0.25">
      <c r="A507" s="5">
        <v>45505</v>
      </c>
      <c r="B507" s="1" t="s">
        <v>26</v>
      </c>
      <c r="C507" s="1" t="s">
        <v>25</v>
      </c>
      <c r="D507" s="2">
        <v>5.0200000000000002E-2</v>
      </c>
      <c r="E507" s="3">
        <v>1</v>
      </c>
      <c r="F507" s="2">
        <v>0.1</v>
      </c>
      <c r="G507" s="2">
        <v>0</v>
      </c>
      <c r="H507" s="2" t="s">
        <v>14</v>
      </c>
      <c r="I507" s="2" t="s">
        <v>14</v>
      </c>
      <c r="J507" s="2" t="s">
        <v>14</v>
      </c>
      <c r="K507" s="2">
        <v>0</v>
      </c>
      <c r="L507" s="4">
        <v>0.03</v>
      </c>
    </row>
    <row r="508" spans="1:12" x14ac:dyDescent="0.25">
      <c r="A508" s="5">
        <v>45505</v>
      </c>
      <c r="B508" s="1" t="s">
        <v>26</v>
      </c>
      <c r="C508" s="1" t="s">
        <v>13</v>
      </c>
      <c r="D508" s="2">
        <v>5.1799999999999999E-2</v>
      </c>
      <c r="E508" s="3">
        <v>1</v>
      </c>
      <c r="F508" s="2">
        <v>0.1</v>
      </c>
      <c r="G508" s="2">
        <v>0</v>
      </c>
      <c r="H508" s="2" t="s">
        <v>14</v>
      </c>
      <c r="I508" s="2" t="s">
        <v>14</v>
      </c>
      <c r="J508" s="2" t="s">
        <v>14</v>
      </c>
      <c r="K508" s="2">
        <v>0</v>
      </c>
      <c r="L508" s="4">
        <v>0.03</v>
      </c>
    </row>
    <row r="509" spans="1:12" x14ac:dyDescent="0.25">
      <c r="A509" s="5">
        <v>45505</v>
      </c>
      <c r="B509" s="1" t="s">
        <v>26</v>
      </c>
      <c r="C509" s="1" t="s">
        <v>17</v>
      </c>
      <c r="D509" s="2">
        <v>3.44E-2</v>
      </c>
      <c r="E509" s="3">
        <v>1</v>
      </c>
      <c r="F509" s="2" t="s">
        <v>14</v>
      </c>
      <c r="G509" s="2">
        <v>0</v>
      </c>
      <c r="H509" s="2" t="s">
        <v>14</v>
      </c>
      <c r="I509" s="2">
        <v>0.08</v>
      </c>
      <c r="J509" s="2" t="s">
        <v>14</v>
      </c>
      <c r="K509" s="2">
        <v>0</v>
      </c>
      <c r="L509" s="4">
        <v>0.03</v>
      </c>
    </row>
    <row r="510" spans="1:12" x14ac:dyDescent="0.25">
      <c r="A510" s="5">
        <v>45505</v>
      </c>
      <c r="B510" s="1" t="s">
        <v>26</v>
      </c>
      <c r="C510" s="1" t="s">
        <v>21</v>
      </c>
      <c r="D510" s="2">
        <v>5.8099999999999999E-2</v>
      </c>
      <c r="E510" s="3">
        <v>1</v>
      </c>
      <c r="F510" s="2">
        <v>0.12</v>
      </c>
      <c r="G510" s="2">
        <v>0</v>
      </c>
      <c r="H510" s="2" t="s">
        <v>14</v>
      </c>
      <c r="I510" s="2" t="s">
        <v>14</v>
      </c>
      <c r="J510" s="2">
        <v>4.1500000000000002E-2</v>
      </c>
      <c r="K510" s="2">
        <v>0.6</v>
      </c>
      <c r="L510" s="4">
        <v>0.03</v>
      </c>
    </row>
    <row r="511" spans="1:12" x14ac:dyDescent="0.25">
      <c r="A511" s="5">
        <v>45505</v>
      </c>
      <c r="B511" s="1" t="s">
        <v>26</v>
      </c>
      <c r="C511" s="1" t="s">
        <v>22</v>
      </c>
      <c r="D511" s="2">
        <v>5.8099999999999999E-2</v>
      </c>
      <c r="E511" s="3">
        <v>1</v>
      </c>
      <c r="F511" s="2">
        <v>0.12</v>
      </c>
      <c r="G511" s="2">
        <v>0</v>
      </c>
      <c r="H511" s="2" t="s">
        <v>14</v>
      </c>
      <c r="I511" s="2" t="s">
        <v>14</v>
      </c>
      <c r="J511" s="2">
        <v>2.1499999999999998E-2</v>
      </c>
      <c r="K511" s="2">
        <v>0.24</v>
      </c>
      <c r="L511" s="4">
        <v>0.03</v>
      </c>
    </row>
    <row r="512" spans="1:12" x14ac:dyDescent="0.25">
      <c r="A512" s="5">
        <v>45505</v>
      </c>
      <c r="B512" s="1" t="s">
        <v>27</v>
      </c>
      <c r="C512" s="1" t="s">
        <v>13</v>
      </c>
      <c r="D512" s="2">
        <v>4.8953320628759574E-2</v>
      </c>
      <c r="E512" s="3">
        <v>1</v>
      </c>
      <c r="F512" s="2">
        <v>9.2499999999999999E-2</v>
      </c>
      <c r="G512" s="2">
        <v>0</v>
      </c>
      <c r="H512" s="2" t="s">
        <v>14</v>
      </c>
      <c r="I512" s="2" t="s">
        <v>14</v>
      </c>
      <c r="J512" s="2" t="s">
        <v>14</v>
      </c>
      <c r="K512" s="2">
        <v>0</v>
      </c>
      <c r="L512" s="4">
        <v>0.03</v>
      </c>
    </row>
    <row r="513" spans="1:12" x14ac:dyDescent="0.25">
      <c r="A513" s="5">
        <v>45505</v>
      </c>
      <c r="B513" s="1" t="s">
        <v>27</v>
      </c>
      <c r="C513" s="1" t="s">
        <v>17</v>
      </c>
      <c r="D513" s="2">
        <v>3.0293293492806773E-2</v>
      </c>
      <c r="E513" s="3">
        <v>1</v>
      </c>
      <c r="F513" s="2" t="s">
        <v>14</v>
      </c>
      <c r="G513" s="2">
        <v>0</v>
      </c>
      <c r="H513" s="2" t="s">
        <v>14</v>
      </c>
      <c r="I513" s="2">
        <v>0.09</v>
      </c>
      <c r="J513" s="2" t="s">
        <v>14</v>
      </c>
      <c r="K513" s="2">
        <v>0</v>
      </c>
      <c r="L513" s="4">
        <v>0.03</v>
      </c>
    </row>
    <row r="514" spans="1:12" x14ac:dyDescent="0.25">
      <c r="A514" s="5">
        <v>45505</v>
      </c>
      <c r="B514" s="1" t="s">
        <v>27</v>
      </c>
      <c r="C514" s="1" t="s">
        <v>24</v>
      </c>
      <c r="D514" s="2">
        <v>5.5158228515752077E-2</v>
      </c>
      <c r="E514" s="3">
        <v>2.2000000000000002</v>
      </c>
      <c r="F514" s="2" t="s">
        <v>14</v>
      </c>
      <c r="G514" s="2">
        <v>0</v>
      </c>
      <c r="H514" s="2" t="s">
        <v>14</v>
      </c>
      <c r="I514" s="2" t="s">
        <v>14</v>
      </c>
      <c r="J514" s="2" t="s">
        <v>14</v>
      </c>
      <c r="K514" s="2">
        <v>0</v>
      </c>
      <c r="L514" s="4">
        <v>0.03</v>
      </c>
    </row>
    <row r="515" spans="1:12" x14ac:dyDescent="0.25">
      <c r="A515" s="5">
        <v>45505</v>
      </c>
      <c r="B515" s="1" t="s">
        <v>27</v>
      </c>
      <c r="C515" s="1" t="s">
        <v>25</v>
      </c>
      <c r="D515" s="2">
        <v>4.7145652539184228E-2</v>
      </c>
      <c r="E515" s="3">
        <v>1</v>
      </c>
      <c r="F515" s="2">
        <v>9.2499999999999999E-2</v>
      </c>
      <c r="G515" s="2">
        <v>0</v>
      </c>
      <c r="H515" s="2" t="s">
        <v>14</v>
      </c>
      <c r="I515" s="2" t="s">
        <v>14</v>
      </c>
      <c r="J515" s="2" t="s">
        <v>14</v>
      </c>
      <c r="K515" s="2">
        <v>0</v>
      </c>
      <c r="L515" s="4">
        <v>0.03</v>
      </c>
    </row>
    <row r="516" spans="1:12" x14ac:dyDescent="0.25">
      <c r="A516" s="5">
        <v>45505</v>
      </c>
      <c r="B516" s="1" t="s">
        <v>30</v>
      </c>
      <c r="C516" s="1" t="s">
        <v>13</v>
      </c>
      <c r="D516" s="2">
        <v>4.9925281538170163E-2</v>
      </c>
      <c r="E516" s="3">
        <v>1</v>
      </c>
      <c r="F516" s="2">
        <v>9.5000000000000001E-2</v>
      </c>
      <c r="G516" s="2">
        <v>0</v>
      </c>
      <c r="H516" s="2" t="s">
        <v>14</v>
      </c>
      <c r="I516" s="2" t="s">
        <v>14</v>
      </c>
      <c r="J516" s="2" t="s">
        <v>14</v>
      </c>
      <c r="K516" s="2">
        <v>0</v>
      </c>
      <c r="L516" s="4">
        <v>0.03</v>
      </c>
    </row>
    <row r="517" spans="1:12" x14ac:dyDescent="0.25">
      <c r="A517" s="5">
        <v>45505</v>
      </c>
      <c r="B517" s="1" t="s">
        <v>30</v>
      </c>
      <c r="C517" s="1" t="s">
        <v>17</v>
      </c>
      <c r="D517" s="2">
        <v>3.0293293492806773E-2</v>
      </c>
      <c r="E517" s="3">
        <v>1</v>
      </c>
      <c r="F517" s="2" t="s">
        <v>14</v>
      </c>
      <c r="G517" s="2">
        <v>0</v>
      </c>
      <c r="H517" s="2" t="s">
        <v>14</v>
      </c>
      <c r="I517" s="2">
        <v>0.09</v>
      </c>
      <c r="J517" s="2" t="s">
        <v>14</v>
      </c>
      <c r="K517" s="2">
        <v>0</v>
      </c>
      <c r="L517" s="4">
        <v>0.03</v>
      </c>
    </row>
    <row r="518" spans="1:12" x14ac:dyDescent="0.25">
      <c r="A518" s="5">
        <v>45505</v>
      </c>
      <c r="B518" s="1" t="s">
        <v>30</v>
      </c>
      <c r="C518" s="1" t="s">
        <v>24</v>
      </c>
      <c r="D518" s="2">
        <v>2.2949996936224765E-2</v>
      </c>
      <c r="E518" s="3">
        <v>2.2000000000000002</v>
      </c>
      <c r="F518" s="2" t="s">
        <v>14</v>
      </c>
      <c r="G518" s="2">
        <v>0</v>
      </c>
      <c r="H518" s="2" t="s">
        <v>14</v>
      </c>
      <c r="I518" s="2" t="s">
        <v>14</v>
      </c>
      <c r="J518" s="2" t="s">
        <v>14</v>
      </c>
      <c r="K518" s="2">
        <v>0</v>
      </c>
      <c r="L518" s="4">
        <v>0.03</v>
      </c>
    </row>
    <row r="519" spans="1:12" x14ac:dyDescent="0.25">
      <c r="A519" s="5">
        <v>45505</v>
      </c>
      <c r="B519" s="1" t="s">
        <v>30</v>
      </c>
      <c r="C519" s="1" t="s">
        <v>25</v>
      </c>
      <c r="D519" s="2">
        <v>4.8173871476400502E-2</v>
      </c>
      <c r="E519" s="3">
        <v>1</v>
      </c>
      <c r="F519" s="2">
        <v>9.5000000000000001E-2</v>
      </c>
      <c r="G519" s="2">
        <v>0</v>
      </c>
      <c r="H519" s="2" t="s">
        <v>14</v>
      </c>
      <c r="I519" s="2" t="s">
        <v>14</v>
      </c>
      <c r="J519" s="2" t="s">
        <v>14</v>
      </c>
      <c r="K519" s="2">
        <v>0</v>
      </c>
      <c r="L519" s="4">
        <v>0.03</v>
      </c>
    </row>
    <row r="520" spans="1:12" x14ac:dyDescent="0.25">
      <c r="A520" s="5">
        <v>45505</v>
      </c>
      <c r="B520" s="1" t="s">
        <v>28</v>
      </c>
      <c r="C520" s="1" t="s">
        <v>13</v>
      </c>
      <c r="D520" s="2">
        <v>4.5900000000000003E-2</v>
      </c>
      <c r="E520" s="3">
        <v>1</v>
      </c>
      <c r="F520" s="2">
        <v>8.5000000000000006E-2</v>
      </c>
      <c r="G520" s="2">
        <v>0</v>
      </c>
      <c r="H520" s="2" t="s">
        <v>14</v>
      </c>
      <c r="I520" s="2" t="s">
        <v>14</v>
      </c>
      <c r="J520" s="2" t="s">
        <v>14</v>
      </c>
      <c r="K520" s="2">
        <v>0</v>
      </c>
      <c r="L520" s="4">
        <v>0.03</v>
      </c>
    </row>
    <row r="521" spans="1:12" x14ac:dyDescent="0.25">
      <c r="A521" s="5">
        <v>45505</v>
      </c>
      <c r="B521" s="1" t="s">
        <v>28</v>
      </c>
      <c r="C521" s="1" t="s">
        <v>16</v>
      </c>
      <c r="D521" s="2">
        <v>2.9899999999999999E-2</v>
      </c>
      <c r="E521" s="3">
        <v>1</v>
      </c>
      <c r="F521" s="2">
        <v>7.0000000000000007E-2</v>
      </c>
      <c r="G521" s="2">
        <v>1.4999999999999999E-2</v>
      </c>
      <c r="H521" s="2" t="s">
        <v>14</v>
      </c>
      <c r="I521" s="2" t="s">
        <v>14</v>
      </c>
      <c r="J521" s="2" t="s">
        <v>14</v>
      </c>
      <c r="K521" s="2">
        <v>0</v>
      </c>
      <c r="L521" s="4">
        <v>0.03</v>
      </c>
    </row>
    <row r="522" spans="1:12" x14ac:dyDescent="0.25">
      <c r="A522" s="5">
        <v>45505</v>
      </c>
      <c r="B522" s="1" t="s">
        <v>28</v>
      </c>
      <c r="C522" s="1" t="s">
        <v>17</v>
      </c>
      <c r="D522" s="2">
        <v>3.5499999999999997E-2</v>
      </c>
      <c r="E522" s="3">
        <v>1</v>
      </c>
      <c r="F522" s="2" t="s">
        <v>14</v>
      </c>
      <c r="G522" s="2">
        <v>0</v>
      </c>
      <c r="H522" s="2" t="s">
        <v>14</v>
      </c>
      <c r="I522" s="2">
        <v>7.7499999999999999E-2</v>
      </c>
      <c r="J522" s="2" t="s">
        <v>14</v>
      </c>
      <c r="K522" s="2">
        <v>0</v>
      </c>
      <c r="L522" s="4">
        <v>0.03</v>
      </c>
    </row>
    <row r="523" spans="1:12" x14ac:dyDescent="0.25">
      <c r="A523" s="5">
        <v>45505</v>
      </c>
      <c r="B523" s="1" t="s">
        <v>28</v>
      </c>
      <c r="C523" s="1" t="s">
        <v>18</v>
      </c>
      <c r="D523" s="2">
        <v>4.7500000000000001E-2</v>
      </c>
      <c r="E523" s="3">
        <v>1</v>
      </c>
      <c r="F523" s="2" t="s">
        <v>14</v>
      </c>
      <c r="G523" s="2">
        <v>0</v>
      </c>
      <c r="H523" s="2">
        <v>6.5000000000000002E-2</v>
      </c>
      <c r="I523" s="2" t="s">
        <v>14</v>
      </c>
      <c r="J523" s="2" t="s">
        <v>14</v>
      </c>
      <c r="K523" s="2">
        <v>0</v>
      </c>
      <c r="L523" s="4">
        <v>0.03</v>
      </c>
    </row>
    <row r="524" spans="1:12" x14ac:dyDescent="0.25">
      <c r="A524" s="5">
        <v>45505</v>
      </c>
      <c r="B524" s="1" t="s">
        <v>29</v>
      </c>
      <c r="C524" s="1" t="s">
        <v>13</v>
      </c>
      <c r="D524" s="2">
        <v>4.2700000000000002E-2</v>
      </c>
      <c r="E524" s="3">
        <v>1</v>
      </c>
      <c r="F524" s="2">
        <v>7.7499999999999999E-2</v>
      </c>
      <c r="G524" s="2">
        <v>0</v>
      </c>
      <c r="H524" s="2" t="s">
        <v>14</v>
      </c>
      <c r="I524" s="2" t="s">
        <v>14</v>
      </c>
      <c r="J524" s="2" t="s">
        <v>14</v>
      </c>
      <c r="K524" s="2">
        <v>0</v>
      </c>
      <c r="L524" s="4">
        <v>0.03</v>
      </c>
    </row>
    <row r="525" spans="1:12" x14ac:dyDescent="0.25">
      <c r="A525" s="5">
        <v>45505</v>
      </c>
      <c r="B525" s="1" t="s">
        <v>29</v>
      </c>
      <c r="C525" s="1" t="s">
        <v>16</v>
      </c>
      <c r="D525" s="2">
        <v>2.3900000000000001E-2</v>
      </c>
      <c r="E525" s="3">
        <v>1</v>
      </c>
      <c r="F525" s="2">
        <v>5.7500000000000002E-2</v>
      </c>
      <c r="G525" s="2">
        <v>1.4999999999999999E-2</v>
      </c>
      <c r="H525" s="2" t="s">
        <v>14</v>
      </c>
      <c r="I525" s="2" t="s">
        <v>14</v>
      </c>
      <c r="J525" s="2" t="s">
        <v>14</v>
      </c>
      <c r="K525" s="2">
        <v>0</v>
      </c>
      <c r="L525" s="4">
        <v>0.03</v>
      </c>
    </row>
    <row r="526" spans="1:12" x14ac:dyDescent="0.25">
      <c r="A526" s="5">
        <v>45505</v>
      </c>
      <c r="B526" s="1" t="s">
        <v>29</v>
      </c>
      <c r="C526" s="1" t="s">
        <v>17</v>
      </c>
      <c r="D526" s="2">
        <v>3.15E-2</v>
      </c>
      <c r="E526" s="3">
        <v>1</v>
      </c>
      <c r="F526" s="2" t="s">
        <v>14</v>
      </c>
      <c r="G526" s="2">
        <v>0</v>
      </c>
      <c r="H526" s="2" t="s">
        <v>14</v>
      </c>
      <c r="I526" s="2">
        <v>8.6999999999999994E-2</v>
      </c>
      <c r="J526" s="2" t="s">
        <v>14</v>
      </c>
      <c r="K526" s="2">
        <v>0</v>
      </c>
      <c r="L526" s="4">
        <v>0.03</v>
      </c>
    </row>
    <row r="527" spans="1:12" x14ac:dyDescent="0.25">
      <c r="A527" s="5">
        <v>45505</v>
      </c>
      <c r="B527" s="1" t="s">
        <v>29</v>
      </c>
      <c r="C527" s="1" t="s">
        <v>18</v>
      </c>
      <c r="D527" s="2">
        <v>4.1700000000000001E-2</v>
      </c>
      <c r="E527" s="3">
        <v>1</v>
      </c>
      <c r="F527" s="2" t="s">
        <v>14</v>
      </c>
      <c r="G527" s="2">
        <v>0</v>
      </c>
      <c r="H527" s="2">
        <v>5.7000000000000002E-2</v>
      </c>
      <c r="I527" s="2" t="s">
        <v>14</v>
      </c>
      <c r="J527" s="2" t="s">
        <v>14</v>
      </c>
      <c r="K527" s="2">
        <v>0</v>
      </c>
      <c r="L527" s="4">
        <v>0.03</v>
      </c>
    </row>
    <row r="528" spans="1:12" x14ac:dyDescent="0.25">
      <c r="A528" s="5">
        <v>45537</v>
      </c>
      <c r="B528" s="1" t="s">
        <v>12</v>
      </c>
      <c r="C528" s="1" t="s">
        <v>13</v>
      </c>
      <c r="D528" s="2">
        <v>5.1799999999999999E-2</v>
      </c>
      <c r="E528" s="3">
        <v>1</v>
      </c>
      <c r="F528" s="2">
        <v>9.7500000000000003E-2</v>
      </c>
      <c r="G528" s="2">
        <v>0</v>
      </c>
      <c r="H528" s="2" t="s">
        <v>14</v>
      </c>
      <c r="I528" s="2" t="s">
        <v>14</v>
      </c>
      <c r="J528" s="2" t="s">
        <v>14</v>
      </c>
      <c r="K528" s="2">
        <v>0</v>
      </c>
      <c r="L528" s="4">
        <v>0.05</v>
      </c>
    </row>
    <row r="529" spans="1:12" x14ac:dyDescent="0.25">
      <c r="A529" s="5">
        <v>45537</v>
      </c>
      <c r="B529" s="1" t="s">
        <v>15</v>
      </c>
      <c r="C529" s="1" t="s">
        <v>13</v>
      </c>
      <c r="D529" s="2">
        <v>5.1799999999999999E-2</v>
      </c>
      <c r="E529" s="3">
        <v>1</v>
      </c>
      <c r="F529" s="2">
        <v>9.7500000000000003E-2</v>
      </c>
      <c r="G529" s="2">
        <v>0</v>
      </c>
      <c r="H529" s="2" t="s">
        <v>14</v>
      </c>
      <c r="I529" s="2" t="s">
        <v>14</v>
      </c>
      <c r="J529" s="2" t="s">
        <v>14</v>
      </c>
      <c r="K529" s="2">
        <v>0</v>
      </c>
      <c r="L529" s="4">
        <v>0.05</v>
      </c>
    </row>
    <row r="530" spans="1:12" x14ac:dyDescent="0.25">
      <c r="A530" s="5">
        <v>45537</v>
      </c>
      <c r="B530" s="1" t="s">
        <v>15</v>
      </c>
      <c r="C530" s="1" t="s">
        <v>16</v>
      </c>
      <c r="D530" s="2">
        <v>3.7100000000000001E-2</v>
      </c>
      <c r="E530" s="3">
        <v>1</v>
      </c>
      <c r="F530" s="2">
        <v>8.5000000000000006E-2</v>
      </c>
      <c r="G530" s="2">
        <v>1.4999999999999999E-2</v>
      </c>
      <c r="H530" s="2" t="s">
        <v>14</v>
      </c>
      <c r="I530" s="2" t="s">
        <v>14</v>
      </c>
      <c r="J530" s="2" t="s">
        <v>14</v>
      </c>
      <c r="K530" s="2">
        <v>0</v>
      </c>
      <c r="L530" s="4">
        <v>0.05</v>
      </c>
    </row>
    <row r="531" spans="1:12" x14ac:dyDescent="0.25">
      <c r="A531" s="5">
        <v>45537</v>
      </c>
      <c r="B531" s="1" t="s">
        <v>15</v>
      </c>
      <c r="C531" s="1" t="s">
        <v>17</v>
      </c>
      <c r="D531" s="2">
        <v>3.4000000000000002E-2</v>
      </c>
      <c r="E531" s="3">
        <v>1</v>
      </c>
      <c r="F531" s="2" t="s">
        <v>14</v>
      </c>
      <c r="G531" s="2">
        <v>0</v>
      </c>
      <c r="H531" s="2" t="s">
        <v>14</v>
      </c>
      <c r="I531" s="2">
        <v>0.08</v>
      </c>
      <c r="J531" s="2" t="s">
        <v>14</v>
      </c>
      <c r="K531" s="2">
        <v>0</v>
      </c>
      <c r="L531" s="4">
        <v>0.05</v>
      </c>
    </row>
    <row r="532" spans="1:12" x14ac:dyDescent="0.25">
      <c r="A532" s="5">
        <v>45537</v>
      </c>
      <c r="B532" s="1" t="s">
        <v>15</v>
      </c>
      <c r="C532" s="1" t="s">
        <v>18</v>
      </c>
      <c r="D532" s="2">
        <v>5.33E-2</v>
      </c>
      <c r="E532" s="3">
        <v>1</v>
      </c>
      <c r="F532" s="2" t="s">
        <v>14</v>
      </c>
      <c r="G532" s="2">
        <v>0</v>
      </c>
      <c r="H532" s="2">
        <v>7.4999999999999997E-2</v>
      </c>
      <c r="I532" s="2" t="s">
        <v>14</v>
      </c>
      <c r="J532" s="2" t="s">
        <v>14</v>
      </c>
      <c r="K532" s="2">
        <v>0</v>
      </c>
      <c r="L532" s="4">
        <v>0.05</v>
      </c>
    </row>
    <row r="533" spans="1:12" x14ac:dyDescent="0.25">
      <c r="A533" s="5">
        <v>45537</v>
      </c>
      <c r="B533" s="1" t="s">
        <v>19</v>
      </c>
      <c r="C533" s="1" t="s">
        <v>13</v>
      </c>
      <c r="D533" s="2">
        <v>4.1099999999999998E-2</v>
      </c>
      <c r="E533" s="3">
        <v>1</v>
      </c>
      <c r="F533" s="2">
        <v>7.2499999999999995E-2</v>
      </c>
      <c r="G533" s="2">
        <v>0</v>
      </c>
      <c r="H533" s="2" t="s">
        <v>14</v>
      </c>
      <c r="I533" s="2" t="s">
        <v>14</v>
      </c>
      <c r="J533" s="2" t="s">
        <v>14</v>
      </c>
      <c r="K533" s="2">
        <v>0</v>
      </c>
      <c r="L533" s="4">
        <v>0.05</v>
      </c>
    </row>
    <row r="534" spans="1:12" x14ac:dyDescent="0.25">
      <c r="A534" s="5">
        <v>45537</v>
      </c>
      <c r="B534" s="1" t="s">
        <v>19</v>
      </c>
      <c r="C534" s="1" t="s">
        <v>16</v>
      </c>
      <c r="D534" s="2">
        <v>3.9199999999999999E-2</v>
      </c>
      <c r="E534" s="3">
        <v>1</v>
      </c>
      <c r="F534" s="2">
        <v>0.06</v>
      </c>
      <c r="G534" s="2">
        <v>1.4999999999999999E-2</v>
      </c>
      <c r="H534" s="2" t="s">
        <v>14</v>
      </c>
      <c r="I534" s="2" t="s">
        <v>14</v>
      </c>
      <c r="J534" s="2" t="s">
        <v>14</v>
      </c>
      <c r="K534" s="2">
        <v>0</v>
      </c>
      <c r="L534" s="4">
        <v>0.05</v>
      </c>
    </row>
    <row r="535" spans="1:12" x14ac:dyDescent="0.25">
      <c r="A535" s="5">
        <v>45537</v>
      </c>
      <c r="B535" s="1" t="s">
        <v>19</v>
      </c>
      <c r="C535" s="1" t="s">
        <v>17</v>
      </c>
      <c r="D535" s="2">
        <v>2.98E-2</v>
      </c>
      <c r="E535" s="3">
        <v>1</v>
      </c>
      <c r="F535" s="2" t="s">
        <v>14</v>
      </c>
      <c r="G535" s="2">
        <v>0</v>
      </c>
      <c r="H535" s="2" t="s">
        <v>14</v>
      </c>
      <c r="I535" s="2">
        <v>0.09</v>
      </c>
      <c r="J535" s="2" t="s">
        <v>14</v>
      </c>
      <c r="K535" s="2">
        <v>0</v>
      </c>
      <c r="L535" s="4">
        <v>0.05</v>
      </c>
    </row>
    <row r="536" spans="1:12" x14ac:dyDescent="0.25">
      <c r="A536" s="5">
        <v>45537</v>
      </c>
      <c r="B536" s="1" t="s">
        <v>19</v>
      </c>
      <c r="C536" s="1" t="s">
        <v>18</v>
      </c>
      <c r="D536" s="2">
        <v>4.2700000000000002E-2</v>
      </c>
      <c r="E536" s="3">
        <v>1</v>
      </c>
      <c r="F536" s="2" t="s">
        <v>14</v>
      </c>
      <c r="G536" s="2">
        <v>0</v>
      </c>
      <c r="H536" s="2">
        <v>0.06</v>
      </c>
      <c r="I536" s="2" t="s">
        <v>14</v>
      </c>
      <c r="J536" s="2" t="s">
        <v>14</v>
      </c>
      <c r="K536" s="2">
        <v>0</v>
      </c>
      <c r="L536" s="4">
        <v>0.05</v>
      </c>
    </row>
    <row r="537" spans="1:12" x14ac:dyDescent="0.25">
      <c r="A537" s="5">
        <v>45537</v>
      </c>
      <c r="B537" s="1" t="s">
        <v>20</v>
      </c>
      <c r="C537" s="1" t="s">
        <v>13</v>
      </c>
      <c r="D537" s="2">
        <v>5.1799999999999999E-2</v>
      </c>
      <c r="E537" s="3">
        <v>1</v>
      </c>
      <c r="F537" s="2">
        <v>9.7500000000000003E-2</v>
      </c>
      <c r="G537" s="2">
        <v>0</v>
      </c>
      <c r="H537" s="2" t="s">
        <v>14</v>
      </c>
      <c r="I537" s="2" t="s">
        <v>14</v>
      </c>
      <c r="J537" s="2" t="s">
        <v>14</v>
      </c>
      <c r="K537" s="2">
        <v>0</v>
      </c>
      <c r="L537" s="4">
        <v>0.05</v>
      </c>
    </row>
    <row r="538" spans="1:12" x14ac:dyDescent="0.25">
      <c r="A538" s="5">
        <v>45537</v>
      </c>
      <c r="B538" s="1" t="s">
        <v>20</v>
      </c>
      <c r="C538" s="1" t="s">
        <v>17</v>
      </c>
      <c r="D538" s="2">
        <v>3.4000000000000002E-2</v>
      </c>
      <c r="E538" s="3">
        <v>1</v>
      </c>
      <c r="F538" s="2" t="s">
        <v>14</v>
      </c>
      <c r="G538" s="2">
        <v>0</v>
      </c>
      <c r="H538" s="2" t="s">
        <v>14</v>
      </c>
      <c r="I538" s="2">
        <v>0.08</v>
      </c>
      <c r="J538" s="2" t="s">
        <v>14</v>
      </c>
      <c r="K538" s="2">
        <v>0</v>
      </c>
      <c r="L538" s="4">
        <v>0.05</v>
      </c>
    </row>
    <row r="539" spans="1:12" x14ac:dyDescent="0.25">
      <c r="A539" s="5">
        <v>45537</v>
      </c>
      <c r="B539" s="1" t="s">
        <v>20</v>
      </c>
      <c r="C539" s="1" t="s">
        <v>21</v>
      </c>
      <c r="D539" s="2">
        <v>5.9299999999999999E-2</v>
      </c>
      <c r="E539" s="3">
        <v>1</v>
      </c>
      <c r="F539" s="2">
        <v>0.12</v>
      </c>
      <c r="G539" s="2">
        <v>0</v>
      </c>
      <c r="H539" s="2" t="s">
        <v>14</v>
      </c>
      <c r="I539" s="2" t="s">
        <v>14</v>
      </c>
      <c r="J539" s="2">
        <v>4.1500000000000002E-2</v>
      </c>
      <c r="K539" s="2">
        <v>0.6</v>
      </c>
      <c r="L539" s="4">
        <v>0.05</v>
      </c>
    </row>
    <row r="540" spans="1:12" x14ac:dyDescent="0.25">
      <c r="A540" s="5">
        <v>45537</v>
      </c>
      <c r="B540" s="1" t="s">
        <v>20</v>
      </c>
      <c r="C540" s="1" t="s">
        <v>22</v>
      </c>
      <c r="D540" s="2">
        <v>5.9299999999999999E-2</v>
      </c>
      <c r="E540" s="3">
        <v>1</v>
      </c>
      <c r="F540" s="2">
        <v>0.12</v>
      </c>
      <c r="G540" s="2">
        <v>0</v>
      </c>
      <c r="H540" s="2" t="s">
        <v>14</v>
      </c>
      <c r="I540" s="2" t="s">
        <v>14</v>
      </c>
      <c r="J540" s="2">
        <v>2.1499999999999998E-2</v>
      </c>
      <c r="K540" s="2">
        <v>0.24</v>
      </c>
      <c r="L540" s="4">
        <v>0.05</v>
      </c>
    </row>
    <row r="541" spans="1:12" x14ac:dyDescent="0.25">
      <c r="A541" s="5">
        <v>45537</v>
      </c>
      <c r="B541" s="1" t="s">
        <v>23</v>
      </c>
      <c r="C541" s="1" t="s">
        <v>24</v>
      </c>
      <c r="D541" s="2">
        <v>5.1815223706588857E-2</v>
      </c>
      <c r="E541" s="3">
        <v>2.4</v>
      </c>
      <c r="F541" s="2" t="s">
        <v>14</v>
      </c>
      <c r="G541" s="2">
        <v>0</v>
      </c>
      <c r="H541" s="2" t="s">
        <v>14</v>
      </c>
      <c r="I541" s="2" t="s">
        <v>14</v>
      </c>
      <c r="J541" s="2" t="s">
        <v>14</v>
      </c>
      <c r="K541" s="2">
        <v>0</v>
      </c>
      <c r="L541" s="4">
        <v>0.05</v>
      </c>
    </row>
    <row r="542" spans="1:12" x14ac:dyDescent="0.25">
      <c r="A542" s="5">
        <v>45537</v>
      </c>
      <c r="B542" s="1" t="s">
        <v>23</v>
      </c>
      <c r="C542" s="1" t="s">
        <v>25</v>
      </c>
      <c r="D542" s="2">
        <v>5.1525107654200659E-2</v>
      </c>
      <c r="E542" s="3">
        <v>1</v>
      </c>
      <c r="F542" s="2">
        <v>0.10249999999999999</v>
      </c>
      <c r="G542" s="2">
        <v>0</v>
      </c>
      <c r="H542" s="2" t="s">
        <v>14</v>
      </c>
      <c r="I542" s="2" t="s">
        <v>14</v>
      </c>
      <c r="J542" s="2" t="s">
        <v>14</v>
      </c>
      <c r="K542" s="2">
        <v>0</v>
      </c>
      <c r="L542" s="4">
        <v>0.05</v>
      </c>
    </row>
    <row r="543" spans="1:12" x14ac:dyDescent="0.25">
      <c r="A543" s="5">
        <v>45537</v>
      </c>
      <c r="B543" s="1" t="s">
        <v>23</v>
      </c>
      <c r="C543" s="1" t="s">
        <v>13</v>
      </c>
      <c r="D543" s="2">
        <v>5.3699999999999998E-2</v>
      </c>
      <c r="E543" s="3">
        <v>1</v>
      </c>
      <c r="F543" s="2">
        <v>0.10249999999999999</v>
      </c>
      <c r="G543" s="2">
        <v>0</v>
      </c>
      <c r="H543" s="2" t="s">
        <v>14</v>
      </c>
      <c r="I543" s="2" t="s">
        <v>14</v>
      </c>
      <c r="J543" s="2" t="s">
        <v>14</v>
      </c>
      <c r="K543" s="2">
        <v>0</v>
      </c>
      <c r="L543" s="4">
        <v>0.05</v>
      </c>
    </row>
    <row r="544" spans="1:12" x14ac:dyDescent="0.25">
      <c r="A544" s="5">
        <v>45537</v>
      </c>
      <c r="B544" s="1" t="s">
        <v>23</v>
      </c>
      <c r="C544" s="1" t="s">
        <v>17</v>
      </c>
      <c r="D544" s="2">
        <v>3.4000000000000002E-2</v>
      </c>
      <c r="E544" s="3">
        <v>1</v>
      </c>
      <c r="F544" s="2" t="s">
        <v>14</v>
      </c>
      <c r="G544" s="2">
        <v>0</v>
      </c>
      <c r="H544" s="2" t="s">
        <v>14</v>
      </c>
      <c r="I544" s="2">
        <v>0.08</v>
      </c>
      <c r="J544" s="2" t="s">
        <v>14</v>
      </c>
      <c r="K544" s="2">
        <v>0</v>
      </c>
      <c r="L544" s="4">
        <v>0.05</v>
      </c>
    </row>
    <row r="545" spans="1:12" x14ac:dyDescent="0.25">
      <c r="A545" s="5">
        <v>45537</v>
      </c>
      <c r="B545" s="1" t="s">
        <v>23</v>
      </c>
      <c r="C545" s="1" t="s">
        <v>21</v>
      </c>
      <c r="D545" s="2">
        <v>5.9299999999999999E-2</v>
      </c>
      <c r="E545" s="3">
        <v>1</v>
      </c>
      <c r="F545" s="2">
        <v>0.12</v>
      </c>
      <c r="G545" s="2">
        <v>0</v>
      </c>
      <c r="H545" s="2" t="s">
        <v>14</v>
      </c>
      <c r="I545" s="2" t="s">
        <v>14</v>
      </c>
      <c r="J545" s="2">
        <v>4.1500000000000002E-2</v>
      </c>
      <c r="K545" s="2">
        <v>0.6</v>
      </c>
      <c r="L545" s="4">
        <v>0.05</v>
      </c>
    </row>
    <row r="546" spans="1:12" x14ac:dyDescent="0.25">
      <c r="A546" s="5">
        <v>45537</v>
      </c>
      <c r="B546" s="1" t="s">
        <v>23</v>
      </c>
      <c r="C546" s="1" t="s">
        <v>22</v>
      </c>
      <c r="D546" s="2">
        <v>5.9299999999999999E-2</v>
      </c>
      <c r="E546" s="3">
        <v>1</v>
      </c>
      <c r="F546" s="2">
        <v>0.12</v>
      </c>
      <c r="G546" s="2">
        <v>0</v>
      </c>
      <c r="H546" s="2" t="s">
        <v>14</v>
      </c>
      <c r="I546" s="2" t="s">
        <v>14</v>
      </c>
      <c r="J546" s="2">
        <v>2.1499999999999998E-2</v>
      </c>
      <c r="K546" s="2">
        <v>0.24</v>
      </c>
      <c r="L546" s="4">
        <v>0.05</v>
      </c>
    </row>
    <row r="547" spans="1:12" x14ac:dyDescent="0.25">
      <c r="A547" s="5">
        <v>45537</v>
      </c>
      <c r="B547" s="1" t="s">
        <v>26</v>
      </c>
      <c r="C547" s="1" t="s">
        <v>24</v>
      </c>
      <c r="D547" s="2">
        <v>5.1815223706588857E-2</v>
      </c>
      <c r="E547" s="3">
        <v>2.4</v>
      </c>
      <c r="F547" s="2" t="s">
        <v>14</v>
      </c>
      <c r="G547" s="2">
        <v>0</v>
      </c>
      <c r="H547" s="2" t="s">
        <v>14</v>
      </c>
      <c r="I547" s="2" t="s">
        <v>14</v>
      </c>
      <c r="J547" s="2" t="s">
        <v>14</v>
      </c>
      <c r="K547" s="2">
        <v>0</v>
      </c>
      <c r="L547" s="4">
        <v>0.05</v>
      </c>
    </row>
    <row r="548" spans="1:12" x14ac:dyDescent="0.25">
      <c r="A548" s="5">
        <v>45537</v>
      </c>
      <c r="B548" s="1" t="s">
        <v>26</v>
      </c>
      <c r="C548" s="1" t="s">
        <v>25</v>
      </c>
      <c r="D548" s="2">
        <v>5.0500000000000003E-2</v>
      </c>
      <c r="E548" s="3">
        <v>1</v>
      </c>
      <c r="F548" s="2">
        <v>0.1</v>
      </c>
      <c r="G548" s="2">
        <v>0</v>
      </c>
      <c r="H548" s="2" t="s">
        <v>14</v>
      </c>
      <c r="I548" s="2" t="s">
        <v>14</v>
      </c>
      <c r="J548" s="2" t="s">
        <v>14</v>
      </c>
      <c r="K548" s="2">
        <v>0</v>
      </c>
      <c r="L548" s="4">
        <v>0.05</v>
      </c>
    </row>
    <row r="549" spans="1:12" x14ac:dyDescent="0.25">
      <c r="A549" s="5">
        <v>45537</v>
      </c>
      <c r="B549" s="1" t="s">
        <v>26</v>
      </c>
      <c r="C549" s="1" t="s">
        <v>13</v>
      </c>
      <c r="D549" s="2">
        <v>5.28E-2</v>
      </c>
      <c r="E549" s="3">
        <v>1</v>
      </c>
      <c r="F549" s="2">
        <v>0.1</v>
      </c>
      <c r="G549" s="2">
        <v>0</v>
      </c>
      <c r="H549" s="2" t="s">
        <v>14</v>
      </c>
      <c r="I549" s="2" t="s">
        <v>14</v>
      </c>
      <c r="J549" s="2" t="s">
        <v>14</v>
      </c>
      <c r="K549" s="2">
        <v>0</v>
      </c>
      <c r="L549" s="4">
        <v>0.05</v>
      </c>
    </row>
    <row r="550" spans="1:12" x14ac:dyDescent="0.25">
      <c r="A550" s="5">
        <v>45537</v>
      </c>
      <c r="B550" s="1" t="s">
        <v>26</v>
      </c>
      <c r="C550" s="1" t="s">
        <v>17</v>
      </c>
      <c r="D550" s="2">
        <v>3.4000000000000002E-2</v>
      </c>
      <c r="E550" s="3">
        <v>1</v>
      </c>
      <c r="F550" s="2" t="s">
        <v>14</v>
      </c>
      <c r="G550" s="2">
        <v>0</v>
      </c>
      <c r="H550" s="2" t="s">
        <v>14</v>
      </c>
      <c r="I550" s="2">
        <v>0.08</v>
      </c>
      <c r="J550" s="2" t="s">
        <v>14</v>
      </c>
      <c r="K550" s="2">
        <v>0</v>
      </c>
      <c r="L550" s="4">
        <v>0.05</v>
      </c>
    </row>
    <row r="551" spans="1:12" x14ac:dyDescent="0.25">
      <c r="A551" s="5">
        <v>45537</v>
      </c>
      <c r="B551" s="1" t="s">
        <v>26</v>
      </c>
      <c r="C551" s="1" t="s">
        <v>21</v>
      </c>
      <c r="D551" s="2">
        <v>5.9299999999999999E-2</v>
      </c>
      <c r="E551" s="3">
        <v>1</v>
      </c>
      <c r="F551" s="2">
        <v>0.12</v>
      </c>
      <c r="G551" s="2">
        <v>0</v>
      </c>
      <c r="H551" s="2" t="s">
        <v>14</v>
      </c>
      <c r="I551" s="2" t="s">
        <v>14</v>
      </c>
      <c r="J551" s="2">
        <v>4.1500000000000002E-2</v>
      </c>
      <c r="K551" s="2">
        <v>0.6</v>
      </c>
      <c r="L551" s="4">
        <v>0.05</v>
      </c>
    </row>
    <row r="552" spans="1:12" x14ac:dyDescent="0.25">
      <c r="A552" s="5">
        <v>45537</v>
      </c>
      <c r="B552" s="1" t="s">
        <v>26</v>
      </c>
      <c r="C552" s="1" t="s">
        <v>22</v>
      </c>
      <c r="D552" s="2">
        <v>5.9299999999999999E-2</v>
      </c>
      <c r="E552" s="3">
        <v>1</v>
      </c>
      <c r="F552" s="2">
        <v>0.12</v>
      </c>
      <c r="G552" s="2">
        <v>0</v>
      </c>
      <c r="H552" s="2" t="s">
        <v>14</v>
      </c>
      <c r="I552" s="2" t="s">
        <v>14</v>
      </c>
      <c r="J552" s="2">
        <v>2.1499999999999998E-2</v>
      </c>
      <c r="K552" s="2">
        <v>0.24</v>
      </c>
      <c r="L552" s="4">
        <v>0.05</v>
      </c>
    </row>
    <row r="553" spans="1:12" x14ac:dyDescent="0.25">
      <c r="A553" s="5">
        <v>45537</v>
      </c>
      <c r="B553" s="1" t="s">
        <v>27</v>
      </c>
      <c r="C553" s="1" t="s">
        <v>13</v>
      </c>
      <c r="D553" s="2">
        <v>4.9855464541599552E-2</v>
      </c>
      <c r="E553" s="3">
        <v>1</v>
      </c>
      <c r="F553" s="2">
        <v>9.2499999999999999E-2</v>
      </c>
      <c r="G553" s="2">
        <v>0</v>
      </c>
      <c r="H553" s="2" t="s">
        <v>14</v>
      </c>
      <c r="I553" s="2" t="s">
        <v>14</v>
      </c>
      <c r="J553" s="2" t="s">
        <v>14</v>
      </c>
      <c r="K553" s="2">
        <v>0</v>
      </c>
      <c r="L553" s="4">
        <v>0.05</v>
      </c>
    </row>
    <row r="554" spans="1:12" x14ac:dyDescent="0.25">
      <c r="A554" s="5">
        <v>45537</v>
      </c>
      <c r="B554" s="1" t="s">
        <v>27</v>
      </c>
      <c r="C554" s="1" t="s">
        <v>17</v>
      </c>
      <c r="D554" s="2">
        <v>2.9763489488933537E-2</v>
      </c>
      <c r="E554" s="3">
        <v>1</v>
      </c>
      <c r="F554" s="2" t="s">
        <v>14</v>
      </c>
      <c r="G554" s="2">
        <v>0</v>
      </c>
      <c r="H554" s="2" t="s">
        <v>14</v>
      </c>
      <c r="I554" s="2">
        <v>0.09</v>
      </c>
      <c r="J554" s="2" t="s">
        <v>14</v>
      </c>
      <c r="K554" s="2">
        <v>0</v>
      </c>
      <c r="L554" s="4">
        <v>0.05</v>
      </c>
    </row>
    <row r="555" spans="1:12" x14ac:dyDescent="0.25">
      <c r="A555" s="5">
        <v>45537</v>
      </c>
      <c r="B555" s="1" t="s">
        <v>27</v>
      </c>
      <c r="C555" s="1" t="s">
        <v>24</v>
      </c>
      <c r="D555" s="2">
        <v>5.1815223706588857E-2</v>
      </c>
      <c r="E555" s="3">
        <v>2.2000000000000002</v>
      </c>
      <c r="F555" s="2" t="s">
        <v>14</v>
      </c>
      <c r="G555" s="2">
        <v>0</v>
      </c>
      <c r="H555" s="2" t="s">
        <v>14</v>
      </c>
      <c r="I555" s="2" t="s">
        <v>14</v>
      </c>
      <c r="J555" s="2" t="s">
        <v>14</v>
      </c>
      <c r="K555" s="2">
        <v>0</v>
      </c>
      <c r="L555" s="4">
        <v>0.05</v>
      </c>
    </row>
    <row r="556" spans="1:12" x14ac:dyDescent="0.25">
      <c r="A556" s="5">
        <v>45537</v>
      </c>
      <c r="B556" s="1" t="s">
        <v>27</v>
      </c>
      <c r="C556" s="1" t="s">
        <v>25</v>
      </c>
      <c r="D556" s="2">
        <v>4.7432150580493757E-2</v>
      </c>
      <c r="E556" s="3">
        <v>1</v>
      </c>
      <c r="F556" s="2">
        <v>9.2499999999999999E-2</v>
      </c>
      <c r="G556" s="2">
        <v>0</v>
      </c>
      <c r="H556" s="2" t="s">
        <v>14</v>
      </c>
      <c r="I556" s="2" t="s">
        <v>14</v>
      </c>
      <c r="J556" s="2" t="s">
        <v>14</v>
      </c>
      <c r="K556" s="2">
        <v>0</v>
      </c>
      <c r="L556" s="4">
        <v>0.05</v>
      </c>
    </row>
    <row r="557" spans="1:12" x14ac:dyDescent="0.25">
      <c r="A557" s="5">
        <v>45537</v>
      </c>
      <c r="B557" s="1" t="s">
        <v>30</v>
      </c>
      <c r="C557" s="1" t="s">
        <v>13</v>
      </c>
      <c r="D557" s="2">
        <v>5.0860704019994069E-2</v>
      </c>
      <c r="E557" s="3">
        <v>1</v>
      </c>
      <c r="F557" s="2">
        <v>9.5000000000000001E-2</v>
      </c>
      <c r="G557" s="2">
        <v>0</v>
      </c>
      <c r="H557" s="2" t="s">
        <v>14</v>
      </c>
      <c r="I557" s="2" t="s">
        <v>14</v>
      </c>
      <c r="J557" s="2" t="s">
        <v>14</v>
      </c>
      <c r="K557" s="2">
        <v>0</v>
      </c>
      <c r="L557" s="4">
        <v>0.05</v>
      </c>
    </row>
    <row r="558" spans="1:12" x14ac:dyDescent="0.25">
      <c r="A558" s="5">
        <v>45537</v>
      </c>
      <c r="B558" s="1" t="s">
        <v>30</v>
      </c>
      <c r="C558" s="1" t="s">
        <v>17</v>
      </c>
      <c r="D558" s="2">
        <v>2.9763489488933537E-2</v>
      </c>
      <c r="E558" s="3">
        <v>1</v>
      </c>
      <c r="F558" s="2" t="s">
        <v>14</v>
      </c>
      <c r="G558" s="2">
        <v>0</v>
      </c>
      <c r="H558" s="2" t="s">
        <v>14</v>
      </c>
      <c r="I558" s="2">
        <v>0.09</v>
      </c>
      <c r="J558" s="2" t="s">
        <v>14</v>
      </c>
      <c r="K558" s="2">
        <v>0</v>
      </c>
      <c r="L558" s="4">
        <v>0.05</v>
      </c>
    </row>
    <row r="559" spans="1:12" x14ac:dyDescent="0.25">
      <c r="A559" s="5">
        <v>45537</v>
      </c>
      <c r="B559" s="1" t="s">
        <v>30</v>
      </c>
      <c r="C559" s="1" t="s">
        <v>24</v>
      </c>
      <c r="D559" s="2">
        <v>5.1815223706588857E-2</v>
      </c>
      <c r="E559" s="3">
        <v>2.2000000000000002</v>
      </c>
      <c r="F559" s="2" t="s">
        <v>14</v>
      </c>
      <c r="G559" s="2">
        <v>0</v>
      </c>
      <c r="H559" s="2" t="s">
        <v>14</v>
      </c>
      <c r="I559" s="2" t="s">
        <v>14</v>
      </c>
      <c r="J559" s="2" t="s">
        <v>14</v>
      </c>
      <c r="K559" s="2">
        <v>0</v>
      </c>
      <c r="L559" s="4">
        <v>0.05</v>
      </c>
    </row>
    <row r="560" spans="1:12" x14ac:dyDescent="0.25">
      <c r="A560" s="5">
        <v>45537</v>
      </c>
      <c r="B560" s="1" t="s">
        <v>30</v>
      </c>
      <c r="C560" s="1" t="s">
        <v>25</v>
      </c>
      <c r="D560" s="2">
        <v>4.84804296993833E-2</v>
      </c>
      <c r="E560" s="3">
        <v>1</v>
      </c>
      <c r="F560" s="2">
        <v>9.5000000000000001E-2</v>
      </c>
      <c r="G560" s="2">
        <v>0</v>
      </c>
      <c r="H560" s="2" t="s">
        <v>14</v>
      </c>
      <c r="I560" s="2" t="s">
        <v>14</v>
      </c>
      <c r="J560" s="2" t="s">
        <v>14</v>
      </c>
      <c r="K560" s="2">
        <v>0</v>
      </c>
      <c r="L560" s="4">
        <v>0.05</v>
      </c>
    </row>
    <row r="561" spans="1:12" x14ac:dyDescent="0.25">
      <c r="A561" s="5">
        <v>45537</v>
      </c>
      <c r="B561" s="1" t="s">
        <v>28</v>
      </c>
      <c r="C561" s="1" t="s">
        <v>13</v>
      </c>
      <c r="D561" s="2">
        <v>4.6699999999999998E-2</v>
      </c>
      <c r="E561" s="3">
        <v>1</v>
      </c>
      <c r="F561" s="2">
        <v>8.5000000000000006E-2</v>
      </c>
      <c r="G561" s="2">
        <v>0</v>
      </c>
      <c r="H561" s="2" t="s">
        <v>14</v>
      </c>
      <c r="I561" s="2" t="s">
        <v>14</v>
      </c>
      <c r="J561" s="2" t="s">
        <v>14</v>
      </c>
      <c r="K561" s="2">
        <v>0</v>
      </c>
      <c r="L561" s="4">
        <v>0.05</v>
      </c>
    </row>
    <row r="562" spans="1:12" x14ac:dyDescent="0.25">
      <c r="A562" s="5">
        <v>45537</v>
      </c>
      <c r="B562" s="1" t="s">
        <v>28</v>
      </c>
      <c r="C562" s="1" t="s">
        <v>16</v>
      </c>
      <c r="D562" s="2">
        <v>3.04E-2</v>
      </c>
      <c r="E562" s="3">
        <v>1</v>
      </c>
      <c r="F562" s="2">
        <v>7.0000000000000007E-2</v>
      </c>
      <c r="G562" s="2">
        <v>1.4999999999999999E-2</v>
      </c>
      <c r="H562" s="2" t="s">
        <v>14</v>
      </c>
      <c r="I562" s="2" t="s">
        <v>14</v>
      </c>
      <c r="J562" s="2" t="s">
        <v>14</v>
      </c>
      <c r="K562" s="2">
        <v>0</v>
      </c>
      <c r="L562" s="4">
        <v>0.05</v>
      </c>
    </row>
    <row r="563" spans="1:12" x14ac:dyDescent="0.25">
      <c r="A563" s="5">
        <v>45537</v>
      </c>
      <c r="B563" s="1" t="s">
        <v>28</v>
      </c>
      <c r="C563" s="1" t="s">
        <v>17</v>
      </c>
      <c r="D563" s="2">
        <v>3.5200000000000002E-2</v>
      </c>
      <c r="E563" s="3">
        <v>1</v>
      </c>
      <c r="F563" s="2" t="s">
        <v>14</v>
      </c>
      <c r="G563" s="2">
        <v>0</v>
      </c>
      <c r="H563" s="2" t="s">
        <v>14</v>
      </c>
      <c r="I563" s="2">
        <v>7.7499999999999999E-2</v>
      </c>
      <c r="J563" s="2" t="s">
        <v>14</v>
      </c>
      <c r="K563" s="2">
        <v>0</v>
      </c>
      <c r="L563" s="4">
        <v>0.05</v>
      </c>
    </row>
    <row r="564" spans="1:12" x14ac:dyDescent="0.25">
      <c r="A564" s="5">
        <v>45537</v>
      </c>
      <c r="B564" s="1" t="s">
        <v>28</v>
      </c>
      <c r="C564" s="1" t="s">
        <v>18</v>
      </c>
      <c r="D564" s="2">
        <v>4.6199999999999998E-2</v>
      </c>
      <c r="E564" s="3">
        <v>1</v>
      </c>
      <c r="F564" s="2" t="s">
        <v>14</v>
      </c>
      <c r="G564" s="2">
        <v>0</v>
      </c>
      <c r="H564" s="2">
        <v>6.5000000000000002E-2</v>
      </c>
      <c r="I564" s="2" t="s">
        <v>14</v>
      </c>
      <c r="J564" s="2" t="s">
        <v>14</v>
      </c>
      <c r="K564" s="2">
        <v>0</v>
      </c>
      <c r="L564" s="4">
        <v>0.05</v>
      </c>
    </row>
    <row r="565" spans="1:12" x14ac:dyDescent="0.25">
      <c r="A565" s="5">
        <v>45537</v>
      </c>
      <c r="B565" s="1" t="s">
        <v>29</v>
      </c>
      <c r="C565" s="1" t="s">
        <v>13</v>
      </c>
      <c r="D565" s="2">
        <v>4.3400000000000001E-2</v>
      </c>
      <c r="E565" s="3">
        <v>1</v>
      </c>
      <c r="F565" s="2">
        <v>7.7499999999999999E-2</v>
      </c>
      <c r="G565" s="2">
        <v>0</v>
      </c>
      <c r="H565" s="2" t="s">
        <v>14</v>
      </c>
      <c r="I565" s="2" t="s">
        <v>14</v>
      </c>
      <c r="J565" s="2" t="s">
        <v>14</v>
      </c>
      <c r="K565" s="2">
        <v>0</v>
      </c>
      <c r="L565" s="4">
        <v>0.05</v>
      </c>
    </row>
    <row r="566" spans="1:12" x14ac:dyDescent="0.25">
      <c r="A566" s="5">
        <v>45537</v>
      </c>
      <c r="B566" s="1" t="s">
        <v>29</v>
      </c>
      <c r="C566" s="1" t="s">
        <v>16</v>
      </c>
      <c r="D566" s="2">
        <v>2.4299999999999999E-2</v>
      </c>
      <c r="E566" s="3">
        <v>1</v>
      </c>
      <c r="F566" s="2">
        <v>5.7500000000000002E-2</v>
      </c>
      <c r="G566" s="2">
        <v>1.4999999999999999E-2</v>
      </c>
      <c r="H566" s="2" t="s">
        <v>14</v>
      </c>
      <c r="I566" s="2" t="s">
        <v>14</v>
      </c>
      <c r="J566" s="2" t="s">
        <v>14</v>
      </c>
      <c r="K566" s="2">
        <v>0</v>
      </c>
      <c r="L566" s="4">
        <v>0.05</v>
      </c>
    </row>
    <row r="567" spans="1:12" x14ac:dyDescent="0.25">
      <c r="A567" s="5">
        <v>45537</v>
      </c>
      <c r="B567" s="1" t="s">
        <v>29</v>
      </c>
      <c r="C567" s="1" t="s">
        <v>17</v>
      </c>
      <c r="D567" s="2">
        <v>3.1E-2</v>
      </c>
      <c r="E567" s="3">
        <v>1</v>
      </c>
      <c r="F567" s="2" t="s">
        <v>14</v>
      </c>
      <c r="G567" s="2">
        <v>0</v>
      </c>
      <c r="H567" s="2" t="s">
        <v>14</v>
      </c>
      <c r="I567" s="2">
        <v>8.6999999999999994E-2</v>
      </c>
      <c r="J567" s="2" t="s">
        <v>14</v>
      </c>
      <c r="K567" s="2">
        <v>0</v>
      </c>
      <c r="L567" s="4">
        <v>0.05</v>
      </c>
    </row>
    <row r="568" spans="1:12" x14ac:dyDescent="0.25">
      <c r="A568" s="5">
        <v>45537</v>
      </c>
      <c r="B568" s="1" t="s">
        <v>29</v>
      </c>
      <c r="C568" s="1" t="s">
        <v>18</v>
      </c>
      <c r="D568" s="2">
        <v>4.0500000000000001E-2</v>
      </c>
      <c r="E568" s="3">
        <v>1</v>
      </c>
      <c r="F568" s="2" t="s">
        <v>14</v>
      </c>
      <c r="G568" s="2">
        <v>0</v>
      </c>
      <c r="H568" s="2">
        <v>5.7000000000000002E-2</v>
      </c>
      <c r="I568" s="2" t="s">
        <v>14</v>
      </c>
      <c r="J568" s="2" t="s">
        <v>14</v>
      </c>
      <c r="K568" s="2">
        <v>0</v>
      </c>
      <c r="L568" s="4">
        <v>0.05</v>
      </c>
    </row>
    <row r="569" spans="1:12" x14ac:dyDescent="0.25">
      <c r="A569" s="5">
        <v>45566</v>
      </c>
      <c r="B569" s="1" t="s">
        <v>12</v>
      </c>
      <c r="C569" s="1" t="s">
        <v>13</v>
      </c>
      <c r="D569" s="2">
        <v>5.1799999999999999E-2</v>
      </c>
      <c r="E569" s="3">
        <v>1</v>
      </c>
      <c r="F569" s="2">
        <v>9.7500000000000003E-2</v>
      </c>
      <c r="G569" s="2">
        <v>0</v>
      </c>
      <c r="H569" s="2" t="s">
        <v>14</v>
      </c>
      <c r="I569" s="2" t="s">
        <v>14</v>
      </c>
      <c r="J569" s="2" t="s">
        <v>14</v>
      </c>
      <c r="K569" s="2">
        <v>0</v>
      </c>
      <c r="L569" s="4">
        <v>0.05</v>
      </c>
    </row>
    <row r="570" spans="1:12" x14ac:dyDescent="0.25">
      <c r="A570" s="5">
        <v>45566</v>
      </c>
      <c r="B570" s="1" t="s">
        <v>15</v>
      </c>
      <c r="C570" s="1" t="s">
        <v>13</v>
      </c>
      <c r="D570" s="2">
        <v>5.1799999999999999E-2</v>
      </c>
      <c r="E570" s="3">
        <v>1</v>
      </c>
      <c r="F570" s="2">
        <v>9.7500000000000003E-2</v>
      </c>
      <c r="G570" s="2">
        <v>0</v>
      </c>
      <c r="H570" s="2" t="s">
        <v>14</v>
      </c>
      <c r="I570" s="2" t="s">
        <v>14</v>
      </c>
      <c r="J570" s="2" t="s">
        <v>14</v>
      </c>
      <c r="K570" s="2">
        <v>0</v>
      </c>
      <c r="L570" s="4">
        <v>0.05</v>
      </c>
    </row>
    <row r="571" spans="1:12" x14ac:dyDescent="0.25">
      <c r="A571" s="5">
        <v>45566</v>
      </c>
      <c r="B571" s="1" t="s">
        <v>15</v>
      </c>
      <c r="C571" s="1" t="s">
        <v>16</v>
      </c>
      <c r="D571" s="2">
        <v>3.7100000000000001E-2</v>
      </c>
      <c r="E571" s="3">
        <v>1</v>
      </c>
      <c r="F571" s="2">
        <v>8.5000000000000006E-2</v>
      </c>
      <c r="G571" s="2">
        <v>1.4999999999999999E-2</v>
      </c>
      <c r="H571" s="2" t="s">
        <v>14</v>
      </c>
      <c r="I571" s="2" t="s">
        <v>14</v>
      </c>
      <c r="J571" s="2" t="s">
        <v>14</v>
      </c>
      <c r="K571" s="2">
        <v>0</v>
      </c>
      <c r="L571" s="4">
        <v>0.05</v>
      </c>
    </row>
    <row r="572" spans="1:12" x14ac:dyDescent="0.25">
      <c r="A572" s="5">
        <v>45566</v>
      </c>
      <c r="B572" s="1" t="s">
        <v>15</v>
      </c>
      <c r="C572" s="1" t="s">
        <v>17</v>
      </c>
      <c r="D572" s="2">
        <v>3.4299999999999997E-2</v>
      </c>
      <c r="E572" s="3">
        <v>1</v>
      </c>
      <c r="F572" s="2" t="s">
        <v>14</v>
      </c>
      <c r="G572" s="2">
        <v>0</v>
      </c>
      <c r="H572" s="2" t="s">
        <v>14</v>
      </c>
      <c r="I572" s="2">
        <v>0.08</v>
      </c>
      <c r="J572" s="2" t="s">
        <v>14</v>
      </c>
      <c r="K572" s="2">
        <v>0</v>
      </c>
      <c r="L572" s="4">
        <v>0.05</v>
      </c>
    </row>
    <row r="573" spans="1:12" x14ac:dyDescent="0.25">
      <c r="A573" s="5">
        <v>45566</v>
      </c>
      <c r="B573" s="1" t="s">
        <v>15</v>
      </c>
      <c r="C573" s="1" t="s">
        <v>18</v>
      </c>
      <c r="D573" s="2">
        <v>5.21E-2</v>
      </c>
      <c r="E573" s="3">
        <v>1</v>
      </c>
      <c r="F573" s="2" t="s">
        <v>14</v>
      </c>
      <c r="G573" s="2">
        <v>0</v>
      </c>
      <c r="H573" s="2">
        <v>7.4999999999999997E-2</v>
      </c>
      <c r="I573" s="2" t="s">
        <v>14</v>
      </c>
      <c r="J573" s="2" t="s">
        <v>14</v>
      </c>
      <c r="K573" s="2">
        <v>0</v>
      </c>
      <c r="L573" s="4">
        <v>0.05</v>
      </c>
    </row>
    <row r="574" spans="1:12" x14ac:dyDescent="0.25">
      <c r="A574" s="5">
        <v>45566</v>
      </c>
      <c r="B574" s="1" t="s">
        <v>19</v>
      </c>
      <c r="C574" s="1" t="s">
        <v>13</v>
      </c>
      <c r="D574" s="2">
        <v>4.1099999999999998E-2</v>
      </c>
      <c r="E574" s="3">
        <v>1</v>
      </c>
      <c r="F574" s="2">
        <v>7.2499999999999995E-2</v>
      </c>
      <c r="G574" s="2">
        <v>0</v>
      </c>
      <c r="H574" s="2" t="s">
        <v>14</v>
      </c>
      <c r="I574" s="2" t="s">
        <v>14</v>
      </c>
      <c r="J574" s="2" t="s">
        <v>14</v>
      </c>
      <c r="K574" s="2">
        <v>0</v>
      </c>
      <c r="L574" s="4">
        <v>0.05</v>
      </c>
    </row>
    <row r="575" spans="1:12" x14ac:dyDescent="0.25">
      <c r="A575" s="5">
        <v>45566</v>
      </c>
      <c r="B575" s="1" t="s">
        <v>19</v>
      </c>
      <c r="C575" s="1" t="s">
        <v>16</v>
      </c>
      <c r="D575" s="2">
        <v>2.5499999999999998E-2</v>
      </c>
      <c r="E575" s="3">
        <v>1</v>
      </c>
      <c r="F575" s="2">
        <v>0.06</v>
      </c>
      <c r="G575" s="2">
        <v>1.4999999999999999E-2</v>
      </c>
      <c r="H575" s="2" t="s">
        <v>14</v>
      </c>
      <c r="I575" s="2" t="s">
        <v>14</v>
      </c>
      <c r="J575" s="2" t="s">
        <v>14</v>
      </c>
      <c r="K575" s="2">
        <v>0</v>
      </c>
      <c r="L575" s="4">
        <v>0.05</v>
      </c>
    </row>
    <row r="576" spans="1:12" x14ac:dyDescent="0.25">
      <c r="A576" s="5">
        <v>45566</v>
      </c>
      <c r="B576" s="1" t="s">
        <v>19</v>
      </c>
      <c r="C576" s="1" t="s">
        <v>17</v>
      </c>
      <c r="D576" s="2">
        <v>0.03</v>
      </c>
      <c r="E576" s="3">
        <v>1</v>
      </c>
      <c r="F576" s="2" t="s">
        <v>14</v>
      </c>
      <c r="G576" s="2">
        <v>0</v>
      </c>
      <c r="H576" s="2" t="s">
        <v>14</v>
      </c>
      <c r="I576" s="2">
        <v>0.09</v>
      </c>
      <c r="J576" s="2" t="s">
        <v>14</v>
      </c>
      <c r="K576" s="2">
        <v>0</v>
      </c>
      <c r="L576" s="4">
        <v>0.05</v>
      </c>
    </row>
    <row r="577" spans="1:12" x14ac:dyDescent="0.25">
      <c r="A577" s="5">
        <v>45566</v>
      </c>
      <c r="B577" s="1" t="s">
        <v>19</v>
      </c>
      <c r="C577" s="1" t="s">
        <v>18</v>
      </c>
      <c r="D577" s="2">
        <v>4.1700000000000001E-2</v>
      </c>
      <c r="E577" s="3">
        <v>1</v>
      </c>
      <c r="F577" s="2" t="s">
        <v>14</v>
      </c>
      <c r="G577" s="2">
        <v>0</v>
      </c>
      <c r="H577" s="2">
        <v>0.06</v>
      </c>
      <c r="I577" s="2" t="s">
        <v>14</v>
      </c>
      <c r="J577" s="2" t="s">
        <v>14</v>
      </c>
      <c r="K577" s="2">
        <v>0</v>
      </c>
      <c r="L577" s="4">
        <v>0.05</v>
      </c>
    </row>
    <row r="578" spans="1:12" x14ac:dyDescent="0.25">
      <c r="A578" s="5">
        <v>45566</v>
      </c>
      <c r="B578" s="1" t="s">
        <v>20</v>
      </c>
      <c r="C578" s="1" t="s">
        <v>13</v>
      </c>
      <c r="D578" s="2">
        <v>5.1799999999999999E-2</v>
      </c>
      <c r="E578" s="3">
        <v>1</v>
      </c>
      <c r="F578" s="2">
        <v>9.7500000000000003E-2</v>
      </c>
      <c r="G578" s="2">
        <v>0</v>
      </c>
      <c r="H578" s="2" t="s">
        <v>14</v>
      </c>
      <c r="I578" s="2" t="s">
        <v>14</v>
      </c>
      <c r="J578" s="2" t="s">
        <v>14</v>
      </c>
      <c r="K578" s="2">
        <v>0</v>
      </c>
      <c r="L578" s="4">
        <v>0.05</v>
      </c>
    </row>
    <row r="579" spans="1:12" x14ac:dyDescent="0.25">
      <c r="A579" s="5">
        <v>45566</v>
      </c>
      <c r="B579" s="1" t="s">
        <v>20</v>
      </c>
      <c r="C579" s="1" t="s">
        <v>17</v>
      </c>
      <c r="D579" s="2">
        <v>3.4299999999999997E-2</v>
      </c>
      <c r="E579" s="3">
        <v>1</v>
      </c>
      <c r="F579" s="2" t="s">
        <v>14</v>
      </c>
      <c r="G579" s="2">
        <v>0</v>
      </c>
      <c r="H579" s="2" t="s">
        <v>14</v>
      </c>
      <c r="I579" s="2">
        <v>0.08</v>
      </c>
      <c r="J579" s="2" t="s">
        <v>14</v>
      </c>
      <c r="K579" s="2">
        <v>0</v>
      </c>
      <c r="L579" s="4">
        <v>0.05</v>
      </c>
    </row>
    <row r="580" spans="1:12" x14ac:dyDescent="0.25">
      <c r="A580" s="5">
        <v>45566</v>
      </c>
      <c r="B580" s="1" t="s">
        <v>20</v>
      </c>
      <c r="C580" s="1" t="s">
        <v>21</v>
      </c>
      <c r="D580" s="2">
        <v>5.9400000000000001E-2</v>
      </c>
      <c r="E580" s="3">
        <v>1</v>
      </c>
      <c r="F580" s="2">
        <v>0.12</v>
      </c>
      <c r="G580" s="2">
        <v>0</v>
      </c>
      <c r="H580" s="2" t="s">
        <v>14</v>
      </c>
      <c r="I580" s="2" t="s">
        <v>14</v>
      </c>
      <c r="J580" s="2">
        <v>4.1500000000000002E-2</v>
      </c>
      <c r="K580" s="2">
        <v>0.6</v>
      </c>
      <c r="L580" s="4">
        <v>0.05</v>
      </c>
    </row>
    <row r="581" spans="1:12" x14ac:dyDescent="0.25">
      <c r="A581" s="5">
        <v>45566</v>
      </c>
      <c r="B581" s="1" t="s">
        <v>20</v>
      </c>
      <c r="C581" s="1" t="s">
        <v>22</v>
      </c>
      <c r="D581" s="2">
        <v>5.9400000000000001E-2</v>
      </c>
      <c r="E581" s="3">
        <v>1</v>
      </c>
      <c r="F581" s="2">
        <v>0.12</v>
      </c>
      <c r="G581" s="2">
        <v>0</v>
      </c>
      <c r="H581" s="2" t="s">
        <v>14</v>
      </c>
      <c r="I581" s="2" t="s">
        <v>14</v>
      </c>
      <c r="J581" s="2">
        <v>2.1499999999999998E-2</v>
      </c>
      <c r="K581" s="2">
        <v>0.24</v>
      </c>
      <c r="L581" s="4">
        <v>0.05</v>
      </c>
    </row>
    <row r="582" spans="1:12" x14ac:dyDescent="0.25">
      <c r="A582" s="5">
        <v>45566</v>
      </c>
      <c r="B582" s="1" t="s">
        <v>23</v>
      </c>
      <c r="C582" s="1" t="s">
        <v>24</v>
      </c>
      <c r="D582" s="2">
        <v>2.3051997113178097E-2</v>
      </c>
      <c r="E582" s="3">
        <v>2.4</v>
      </c>
      <c r="F582" s="2" t="s">
        <v>14</v>
      </c>
      <c r="G582" s="2">
        <v>0</v>
      </c>
      <c r="H582" s="2" t="s">
        <v>14</v>
      </c>
      <c r="I582" s="2" t="s">
        <v>14</v>
      </c>
      <c r="J582" s="2" t="s">
        <v>14</v>
      </c>
      <c r="K582" s="2">
        <v>0</v>
      </c>
      <c r="L582" s="4">
        <v>0.05</v>
      </c>
    </row>
    <row r="583" spans="1:12" x14ac:dyDescent="0.25">
      <c r="A583" s="5">
        <v>45566</v>
      </c>
      <c r="B583" s="1" t="s">
        <v>23</v>
      </c>
      <c r="C583" s="1" t="s">
        <v>25</v>
      </c>
      <c r="D583" s="2">
        <v>5.0868663024244185E-2</v>
      </c>
      <c r="E583" s="3">
        <v>1</v>
      </c>
      <c r="F583" s="2">
        <v>0.10249999999999999</v>
      </c>
      <c r="G583" s="2">
        <v>0</v>
      </c>
      <c r="H583" s="2" t="s">
        <v>14</v>
      </c>
      <c r="I583" s="2" t="s">
        <v>14</v>
      </c>
      <c r="J583" s="2" t="s">
        <v>14</v>
      </c>
      <c r="K583" s="2">
        <v>0</v>
      </c>
      <c r="L583" s="4">
        <v>0.05</v>
      </c>
    </row>
    <row r="584" spans="1:12" x14ac:dyDescent="0.25">
      <c r="A584" s="5">
        <v>45566</v>
      </c>
      <c r="B584" s="1" t="s">
        <v>23</v>
      </c>
      <c r="C584" s="1" t="s">
        <v>13</v>
      </c>
      <c r="D584" s="2">
        <v>5.3699999999999998E-2</v>
      </c>
      <c r="E584" s="3">
        <v>1</v>
      </c>
      <c r="F584" s="2">
        <v>0.10249999999999999</v>
      </c>
      <c r="G584" s="2">
        <v>0</v>
      </c>
      <c r="H584" s="2" t="s">
        <v>14</v>
      </c>
      <c r="I584" s="2" t="s">
        <v>14</v>
      </c>
      <c r="J584" s="2" t="s">
        <v>14</v>
      </c>
      <c r="K584" s="2">
        <v>0</v>
      </c>
      <c r="L584" s="4">
        <v>0.05</v>
      </c>
    </row>
    <row r="585" spans="1:12" x14ac:dyDescent="0.25">
      <c r="A585" s="5">
        <v>45566</v>
      </c>
      <c r="B585" s="1" t="s">
        <v>23</v>
      </c>
      <c r="C585" s="1" t="s">
        <v>17</v>
      </c>
      <c r="D585" s="2">
        <v>3.4299999999999997E-2</v>
      </c>
      <c r="E585" s="3">
        <v>1</v>
      </c>
      <c r="F585" s="2" t="s">
        <v>14</v>
      </c>
      <c r="G585" s="2">
        <v>0</v>
      </c>
      <c r="H585" s="2" t="s">
        <v>14</v>
      </c>
      <c r="I585" s="2">
        <v>0.08</v>
      </c>
      <c r="J585" s="2" t="s">
        <v>14</v>
      </c>
      <c r="K585" s="2">
        <v>0</v>
      </c>
      <c r="L585" s="4">
        <v>0.05</v>
      </c>
    </row>
    <row r="586" spans="1:12" x14ac:dyDescent="0.25">
      <c r="A586" s="5">
        <v>45566</v>
      </c>
      <c r="B586" s="1" t="s">
        <v>23</v>
      </c>
      <c r="C586" s="1" t="s">
        <v>21</v>
      </c>
      <c r="D586" s="2">
        <v>5.9400000000000001E-2</v>
      </c>
      <c r="E586" s="3">
        <v>1</v>
      </c>
      <c r="F586" s="2">
        <v>0.12</v>
      </c>
      <c r="G586" s="2">
        <v>0</v>
      </c>
      <c r="H586" s="2" t="s">
        <v>14</v>
      </c>
      <c r="I586" s="2" t="s">
        <v>14</v>
      </c>
      <c r="J586" s="2">
        <v>4.1500000000000002E-2</v>
      </c>
      <c r="K586" s="2">
        <v>0.6</v>
      </c>
      <c r="L586" s="4">
        <v>0.05</v>
      </c>
    </row>
    <row r="587" spans="1:12" x14ac:dyDescent="0.25">
      <c r="A587" s="5">
        <v>45566</v>
      </c>
      <c r="B587" s="1" t="s">
        <v>23</v>
      </c>
      <c r="C587" s="1" t="s">
        <v>22</v>
      </c>
      <c r="D587" s="2">
        <v>5.9400000000000001E-2</v>
      </c>
      <c r="E587" s="3">
        <v>1</v>
      </c>
      <c r="F587" s="2">
        <v>0.12</v>
      </c>
      <c r="G587" s="2">
        <v>0</v>
      </c>
      <c r="H587" s="2" t="s">
        <v>14</v>
      </c>
      <c r="I587" s="2" t="s">
        <v>14</v>
      </c>
      <c r="J587" s="2">
        <v>2.1499999999999998E-2</v>
      </c>
      <c r="K587" s="2">
        <v>0.24</v>
      </c>
      <c r="L587" s="4">
        <v>0.05</v>
      </c>
    </row>
    <row r="588" spans="1:12" x14ac:dyDescent="0.25">
      <c r="A588" s="5">
        <v>45566</v>
      </c>
      <c r="B588" s="1" t="s">
        <v>26</v>
      </c>
      <c r="C588" s="1" t="s">
        <v>24</v>
      </c>
      <c r="D588" s="2">
        <v>2.3051997113178097E-2</v>
      </c>
      <c r="E588" s="3">
        <v>2.4</v>
      </c>
      <c r="F588" s="2" t="s">
        <v>14</v>
      </c>
      <c r="G588" s="2">
        <v>0</v>
      </c>
      <c r="H588" s="2" t="s">
        <v>14</v>
      </c>
      <c r="I588" s="2" t="s">
        <v>14</v>
      </c>
      <c r="J588" s="2" t="s">
        <v>14</v>
      </c>
      <c r="K588" s="2">
        <v>0</v>
      </c>
      <c r="L588" s="4">
        <v>0.05</v>
      </c>
    </row>
    <row r="589" spans="1:12" x14ac:dyDescent="0.25">
      <c r="A589" s="5">
        <v>45566</v>
      </c>
      <c r="B589" s="1" t="s">
        <v>26</v>
      </c>
      <c r="C589" s="1" t="s">
        <v>25</v>
      </c>
      <c r="D589" s="2">
        <v>5.0900000000000001E-2</v>
      </c>
      <c r="E589" s="3">
        <v>1</v>
      </c>
      <c r="F589" s="2">
        <v>0.1</v>
      </c>
      <c r="G589" s="2">
        <v>0</v>
      </c>
      <c r="H589" s="2" t="s">
        <v>14</v>
      </c>
      <c r="I589" s="2" t="s">
        <v>14</v>
      </c>
      <c r="J589" s="2" t="s">
        <v>14</v>
      </c>
      <c r="K589" s="2">
        <v>0</v>
      </c>
      <c r="L589" s="4">
        <v>0.05</v>
      </c>
    </row>
    <row r="590" spans="1:12" x14ac:dyDescent="0.25">
      <c r="A590" s="5">
        <v>45566</v>
      </c>
      <c r="B590" s="1" t="s">
        <v>26</v>
      </c>
      <c r="C590" s="1" t="s">
        <v>13</v>
      </c>
      <c r="D590" s="2">
        <v>5.28E-2</v>
      </c>
      <c r="E590" s="3">
        <v>1</v>
      </c>
      <c r="F590" s="2">
        <v>0.1</v>
      </c>
      <c r="G590" s="2">
        <v>0</v>
      </c>
      <c r="H590" s="2" t="s">
        <v>14</v>
      </c>
      <c r="I590" s="2" t="s">
        <v>14</v>
      </c>
      <c r="J590" s="2" t="s">
        <v>14</v>
      </c>
      <c r="K590" s="2">
        <v>0</v>
      </c>
      <c r="L590" s="4">
        <v>0.05</v>
      </c>
    </row>
    <row r="591" spans="1:12" x14ac:dyDescent="0.25">
      <c r="A591" s="5">
        <v>45566</v>
      </c>
      <c r="B591" s="1" t="s">
        <v>26</v>
      </c>
      <c r="C591" s="1" t="s">
        <v>17</v>
      </c>
      <c r="D591" s="2">
        <v>3.4299999999999997E-2</v>
      </c>
      <c r="E591" s="3">
        <v>1</v>
      </c>
      <c r="F591" s="2" t="s">
        <v>14</v>
      </c>
      <c r="G591" s="2">
        <v>0</v>
      </c>
      <c r="H591" s="2" t="s">
        <v>14</v>
      </c>
      <c r="I591" s="2">
        <v>0.08</v>
      </c>
      <c r="J591" s="2" t="s">
        <v>14</v>
      </c>
      <c r="K591" s="2">
        <v>0</v>
      </c>
      <c r="L591" s="4">
        <v>0.05</v>
      </c>
    </row>
    <row r="592" spans="1:12" x14ac:dyDescent="0.25">
      <c r="A592" s="5">
        <v>45566</v>
      </c>
      <c r="B592" s="1" t="s">
        <v>26</v>
      </c>
      <c r="C592" s="1" t="s">
        <v>21</v>
      </c>
      <c r="D592" s="2">
        <v>5.9400000000000001E-2</v>
      </c>
      <c r="E592" s="3">
        <v>1</v>
      </c>
      <c r="F592" s="2">
        <v>0.12</v>
      </c>
      <c r="G592" s="2">
        <v>0</v>
      </c>
      <c r="H592" s="2" t="s">
        <v>14</v>
      </c>
      <c r="I592" s="2" t="s">
        <v>14</v>
      </c>
      <c r="J592" s="2">
        <v>4.1500000000000002E-2</v>
      </c>
      <c r="K592" s="2">
        <v>0.6</v>
      </c>
      <c r="L592" s="4">
        <v>0.05</v>
      </c>
    </row>
    <row r="593" spans="1:12" x14ac:dyDescent="0.25">
      <c r="A593" s="5">
        <v>45566</v>
      </c>
      <c r="B593" s="1" t="s">
        <v>26</v>
      </c>
      <c r="C593" s="1" t="s">
        <v>22</v>
      </c>
      <c r="D593" s="2">
        <v>5.9400000000000001E-2</v>
      </c>
      <c r="E593" s="3">
        <v>1</v>
      </c>
      <c r="F593" s="2">
        <v>0.12</v>
      </c>
      <c r="G593" s="2">
        <v>0</v>
      </c>
      <c r="H593" s="2" t="s">
        <v>14</v>
      </c>
      <c r="I593" s="2" t="s">
        <v>14</v>
      </c>
      <c r="J593" s="2">
        <v>2.1499999999999998E-2</v>
      </c>
      <c r="K593" s="2">
        <v>0.24</v>
      </c>
      <c r="L593" s="4">
        <v>0.05</v>
      </c>
    </row>
    <row r="594" spans="1:12" x14ac:dyDescent="0.25">
      <c r="A594" s="5">
        <v>45566</v>
      </c>
      <c r="B594" s="1" t="s">
        <v>27</v>
      </c>
      <c r="C594" s="1" t="s">
        <v>13</v>
      </c>
      <c r="D594" s="2">
        <v>4.9832209864096227E-2</v>
      </c>
      <c r="E594" s="3">
        <v>1</v>
      </c>
      <c r="F594" s="2">
        <v>9.2499999999999999E-2</v>
      </c>
      <c r="G594" s="2">
        <v>0</v>
      </c>
      <c r="H594" s="2" t="s">
        <v>14</v>
      </c>
      <c r="I594" s="2" t="s">
        <v>14</v>
      </c>
      <c r="J594" s="2" t="s">
        <v>14</v>
      </c>
      <c r="K594" s="2">
        <v>0</v>
      </c>
      <c r="L594" s="4">
        <v>0.05</v>
      </c>
    </row>
    <row r="595" spans="1:12" x14ac:dyDescent="0.25">
      <c r="A595" s="5">
        <v>45566</v>
      </c>
      <c r="B595" s="1" t="s">
        <v>27</v>
      </c>
      <c r="C595" s="1" t="s">
        <v>17</v>
      </c>
      <c r="D595" s="2">
        <v>2.9980593914124828E-2</v>
      </c>
      <c r="E595" s="3">
        <v>1</v>
      </c>
      <c r="F595" s="2" t="s">
        <v>14</v>
      </c>
      <c r="G595" s="2">
        <v>0</v>
      </c>
      <c r="H595" s="2" t="s">
        <v>14</v>
      </c>
      <c r="I595" s="2">
        <v>0.09</v>
      </c>
      <c r="J595" s="2" t="s">
        <v>14</v>
      </c>
      <c r="K595" s="2">
        <v>0</v>
      </c>
      <c r="L595" s="4">
        <v>0.05</v>
      </c>
    </row>
    <row r="596" spans="1:12" x14ac:dyDescent="0.25">
      <c r="A596" s="5">
        <v>45566</v>
      </c>
      <c r="B596" s="1" t="s">
        <v>27</v>
      </c>
      <c r="C596" s="1" t="s">
        <v>24</v>
      </c>
      <c r="D596" s="2">
        <v>2.3051997113178097E-2</v>
      </c>
      <c r="E596" s="3">
        <v>2.2000000000000002</v>
      </c>
      <c r="F596" s="2" t="s">
        <v>14</v>
      </c>
      <c r="G596" s="2">
        <v>0</v>
      </c>
      <c r="H596" s="2" t="s">
        <v>14</v>
      </c>
      <c r="I596" s="2" t="s">
        <v>14</v>
      </c>
      <c r="J596" s="2" t="s">
        <v>14</v>
      </c>
      <c r="K596" s="2">
        <v>0</v>
      </c>
      <c r="L596" s="4">
        <v>0.05</v>
      </c>
    </row>
    <row r="597" spans="1:12" x14ac:dyDescent="0.25">
      <c r="A597" s="5">
        <v>45566</v>
      </c>
      <c r="B597" s="1" t="s">
        <v>27</v>
      </c>
      <c r="C597" s="1" t="s">
        <v>25</v>
      </c>
      <c r="D597" s="2">
        <v>4.6801491675266024E-2</v>
      </c>
      <c r="E597" s="3">
        <v>1</v>
      </c>
      <c r="F597" s="2">
        <v>9.2499999999999999E-2</v>
      </c>
      <c r="G597" s="2">
        <v>0</v>
      </c>
      <c r="H597" s="2" t="s">
        <v>14</v>
      </c>
      <c r="I597" s="2" t="s">
        <v>14</v>
      </c>
      <c r="J597" s="2" t="s">
        <v>14</v>
      </c>
      <c r="K597" s="2">
        <v>0</v>
      </c>
      <c r="L597" s="4">
        <v>0.05</v>
      </c>
    </row>
    <row r="598" spans="1:12" x14ac:dyDescent="0.25">
      <c r="A598" s="5">
        <v>45566</v>
      </c>
      <c r="B598" s="1" t="s">
        <v>30</v>
      </c>
      <c r="C598" s="1" t="s">
        <v>13</v>
      </c>
      <c r="D598" s="2">
        <v>5.0845406657552224E-2</v>
      </c>
      <c r="E598" s="3">
        <v>1</v>
      </c>
      <c r="F598" s="2">
        <v>9.5000000000000001E-2</v>
      </c>
      <c r="G598" s="2">
        <v>0</v>
      </c>
      <c r="H598" s="2" t="s">
        <v>14</v>
      </c>
      <c r="I598" s="2" t="s">
        <v>14</v>
      </c>
      <c r="J598" s="2" t="s">
        <v>14</v>
      </c>
      <c r="K598" s="2">
        <v>0</v>
      </c>
      <c r="L598" s="4">
        <v>0.05</v>
      </c>
    </row>
    <row r="599" spans="1:12" x14ac:dyDescent="0.25">
      <c r="A599" s="5">
        <v>45566</v>
      </c>
      <c r="B599" s="1" t="s">
        <v>30</v>
      </c>
      <c r="C599" s="1" t="s">
        <v>17</v>
      </c>
      <c r="D599" s="2">
        <v>2.9980593914124828E-2</v>
      </c>
      <c r="E599" s="3">
        <v>1</v>
      </c>
      <c r="F599" s="2" t="s">
        <v>14</v>
      </c>
      <c r="G599" s="2">
        <v>0</v>
      </c>
      <c r="H599" s="2" t="s">
        <v>14</v>
      </c>
      <c r="I599" s="2">
        <v>0.09</v>
      </c>
      <c r="J599" s="2" t="s">
        <v>14</v>
      </c>
      <c r="K599" s="2">
        <v>0</v>
      </c>
      <c r="L599" s="4">
        <v>0.05</v>
      </c>
    </row>
    <row r="600" spans="1:12" x14ac:dyDescent="0.25">
      <c r="A600" s="5">
        <v>45566</v>
      </c>
      <c r="B600" s="1" t="s">
        <v>30</v>
      </c>
      <c r="C600" s="1" t="s">
        <v>24</v>
      </c>
      <c r="D600" s="2">
        <v>2.3051997113178097E-2</v>
      </c>
      <c r="E600" s="3">
        <v>2.2000000000000002</v>
      </c>
      <c r="F600" s="2" t="s">
        <v>14</v>
      </c>
      <c r="G600" s="2">
        <v>0</v>
      </c>
      <c r="H600" s="2" t="s">
        <v>14</v>
      </c>
      <c r="I600" s="2" t="s">
        <v>14</v>
      </c>
      <c r="J600" s="2" t="s">
        <v>14</v>
      </c>
      <c r="K600" s="2">
        <v>0</v>
      </c>
      <c r="L600" s="4">
        <v>0.05</v>
      </c>
    </row>
    <row r="601" spans="1:12" x14ac:dyDescent="0.25">
      <c r="A601" s="5">
        <v>45566</v>
      </c>
      <c r="B601" s="1" t="s">
        <v>30</v>
      </c>
      <c r="C601" s="1" t="s">
        <v>25</v>
      </c>
      <c r="D601" s="2">
        <v>4.7841749096272139E-2</v>
      </c>
      <c r="E601" s="3">
        <v>1</v>
      </c>
      <c r="F601" s="2">
        <v>9.5000000000000001E-2</v>
      </c>
      <c r="G601" s="2">
        <v>0</v>
      </c>
      <c r="H601" s="2" t="s">
        <v>14</v>
      </c>
      <c r="I601" s="2" t="s">
        <v>14</v>
      </c>
      <c r="J601" s="2" t="s">
        <v>14</v>
      </c>
      <c r="K601" s="2">
        <v>0</v>
      </c>
      <c r="L601" s="4">
        <v>0.05</v>
      </c>
    </row>
    <row r="602" spans="1:12" x14ac:dyDescent="0.25">
      <c r="A602" s="5">
        <v>45566</v>
      </c>
      <c r="B602" s="1" t="s">
        <v>28</v>
      </c>
      <c r="C602" s="1" t="s">
        <v>13</v>
      </c>
      <c r="D602" s="2">
        <v>4.6699999999999998E-2</v>
      </c>
      <c r="E602" s="3">
        <v>1</v>
      </c>
      <c r="F602" s="2">
        <v>8.5000000000000006E-2</v>
      </c>
      <c r="G602" s="2">
        <v>0</v>
      </c>
      <c r="H602" s="2" t="s">
        <v>14</v>
      </c>
      <c r="I602" s="2" t="s">
        <v>14</v>
      </c>
      <c r="J602" s="2" t="s">
        <v>14</v>
      </c>
      <c r="K602" s="2">
        <v>0</v>
      </c>
      <c r="L602" s="4">
        <v>0.05</v>
      </c>
    </row>
    <row r="603" spans="1:12" x14ac:dyDescent="0.25">
      <c r="A603" s="5">
        <v>45566</v>
      </c>
      <c r="B603" s="1" t="s">
        <v>28</v>
      </c>
      <c r="C603" s="1" t="s">
        <v>16</v>
      </c>
      <c r="D603" s="2">
        <v>3.0300000000000001E-2</v>
      </c>
      <c r="E603" s="3">
        <v>1</v>
      </c>
      <c r="F603" s="2">
        <v>7.0000000000000007E-2</v>
      </c>
      <c r="G603" s="2">
        <v>1.4999999999999999E-2</v>
      </c>
      <c r="H603" s="2" t="s">
        <v>14</v>
      </c>
      <c r="I603" s="2" t="s">
        <v>14</v>
      </c>
      <c r="J603" s="2" t="s">
        <v>14</v>
      </c>
      <c r="K603" s="2">
        <v>0</v>
      </c>
      <c r="L603" s="4">
        <v>0.05</v>
      </c>
    </row>
    <row r="604" spans="1:12" x14ac:dyDescent="0.25">
      <c r="A604" s="5">
        <v>45566</v>
      </c>
      <c r="B604" s="1" t="s">
        <v>28</v>
      </c>
      <c r="C604" s="1" t="s">
        <v>17</v>
      </c>
      <c r="D604" s="2">
        <v>3.5400000000000001E-2</v>
      </c>
      <c r="E604" s="3">
        <v>1</v>
      </c>
      <c r="F604" s="2" t="s">
        <v>14</v>
      </c>
      <c r="G604" s="2">
        <v>0</v>
      </c>
      <c r="H604" s="2" t="s">
        <v>14</v>
      </c>
      <c r="I604" s="2">
        <v>7.7499999999999999E-2</v>
      </c>
      <c r="J604" s="2" t="s">
        <v>14</v>
      </c>
      <c r="K604" s="2">
        <v>0</v>
      </c>
      <c r="L604" s="4">
        <v>0.05</v>
      </c>
    </row>
    <row r="605" spans="1:12" x14ac:dyDescent="0.25">
      <c r="A605" s="5">
        <v>45566</v>
      </c>
      <c r="B605" s="1" t="s">
        <v>28</v>
      </c>
      <c r="C605" s="1" t="s">
        <v>18</v>
      </c>
      <c r="D605" s="2">
        <v>4.5199999999999997E-2</v>
      </c>
      <c r="E605" s="3">
        <v>1</v>
      </c>
      <c r="F605" s="2" t="s">
        <v>14</v>
      </c>
      <c r="G605" s="2">
        <v>0</v>
      </c>
      <c r="H605" s="2">
        <v>6.5000000000000002E-2</v>
      </c>
      <c r="I605" s="2" t="s">
        <v>14</v>
      </c>
      <c r="J605" s="2" t="s">
        <v>14</v>
      </c>
      <c r="K605" s="2">
        <v>0</v>
      </c>
      <c r="L605" s="4">
        <v>0.05</v>
      </c>
    </row>
    <row r="606" spans="1:12" x14ac:dyDescent="0.25">
      <c r="A606" s="5">
        <v>45566</v>
      </c>
      <c r="B606" s="1" t="s">
        <v>29</v>
      </c>
      <c r="C606" s="1" t="s">
        <v>13</v>
      </c>
      <c r="D606" s="2">
        <v>4.3400000000000001E-2</v>
      </c>
      <c r="E606" s="3">
        <v>1</v>
      </c>
      <c r="F606" s="2">
        <v>7.7499999999999999E-2</v>
      </c>
      <c r="G606" s="2">
        <v>0</v>
      </c>
      <c r="H606" s="2" t="s">
        <v>14</v>
      </c>
      <c r="I606" s="2" t="s">
        <v>14</v>
      </c>
      <c r="J606" s="2" t="s">
        <v>14</v>
      </c>
      <c r="K606" s="2">
        <v>0</v>
      </c>
      <c r="L606" s="4">
        <v>0.05</v>
      </c>
    </row>
    <row r="607" spans="1:12" x14ac:dyDescent="0.25">
      <c r="A607" s="5">
        <v>45566</v>
      </c>
      <c r="B607" s="1" t="s">
        <v>29</v>
      </c>
      <c r="C607" s="1" t="s">
        <v>16</v>
      </c>
      <c r="D607" s="2">
        <v>2.4199999999999999E-2</v>
      </c>
      <c r="E607" s="3">
        <v>1</v>
      </c>
      <c r="F607" s="2">
        <v>5.7500000000000002E-2</v>
      </c>
      <c r="G607" s="2">
        <v>1.4999999999999999E-2</v>
      </c>
      <c r="H607" s="2" t="s">
        <v>14</v>
      </c>
      <c r="I607" s="2" t="s">
        <v>14</v>
      </c>
      <c r="J607" s="2" t="s">
        <v>14</v>
      </c>
      <c r="K607" s="2">
        <v>0</v>
      </c>
      <c r="L607" s="4">
        <v>0.05</v>
      </c>
    </row>
    <row r="608" spans="1:12" x14ac:dyDescent="0.25">
      <c r="A608" s="5">
        <v>45566</v>
      </c>
      <c r="B608" s="1" t="s">
        <v>29</v>
      </c>
      <c r="C608" s="1" t="s">
        <v>17</v>
      </c>
      <c r="D608" s="2">
        <v>3.1199999999999999E-2</v>
      </c>
      <c r="E608" s="3">
        <v>1</v>
      </c>
      <c r="F608" s="2" t="s">
        <v>14</v>
      </c>
      <c r="G608" s="2">
        <v>0</v>
      </c>
      <c r="H608" s="2" t="s">
        <v>14</v>
      </c>
      <c r="I608" s="2">
        <v>8.6999999999999994E-2</v>
      </c>
      <c r="J608" s="2" t="s">
        <v>14</v>
      </c>
      <c r="K608" s="2">
        <v>0</v>
      </c>
      <c r="L608" s="4">
        <v>0.05</v>
      </c>
    </row>
    <row r="609" spans="1:12" x14ac:dyDescent="0.25">
      <c r="A609" s="5">
        <v>45566</v>
      </c>
      <c r="B609" s="1" t="s">
        <v>29</v>
      </c>
      <c r="C609" s="1" t="s">
        <v>18</v>
      </c>
      <c r="D609" s="2">
        <v>3.9600000000000003E-2</v>
      </c>
      <c r="E609" s="3">
        <v>1</v>
      </c>
      <c r="F609" s="2" t="s">
        <v>14</v>
      </c>
      <c r="G609" s="2">
        <v>0</v>
      </c>
      <c r="H609" s="2">
        <v>5.7000000000000002E-2</v>
      </c>
      <c r="I609" s="2" t="s">
        <v>14</v>
      </c>
      <c r="J609" s="2" t="s">
        <v>14</v>
      </c>
      <c r="K609" s="2">
        <v>0</v>
      </c>
      <c r="L609" s="4">
        <v>0.05</v>
      </c>
    </row>
    <row r="610" spans="1:12" x14ac:dyDescent="0.25">
      <c r="A610" s="5">
        <v>45597</v>
      </c>
      <c r="B610" s="1" t="s">
        <v>12</v>
      </c>
      <c r="C610" s="1" t="s">
        <v>13</v>
      </c>
      <c r="D610" s="2">
        <v>5.3499999999999999E-2</v>
      </c>
      <c r="E610" s="3">
        <v>1</v>
      </c>
      <c r="F610" s="2">
        <v>9.7500000000000003E-2</v>
      </c>
      <c r="G610" s="2">
        <v>0</v>
      </c>
      <c r="H610" s="2" t="s">
        <v>14</v>
      </c>
      <c r="I610" s="2" t="s">
        <v>14</v>
      </c>
      <c r="J610" s="2" t="s">
        <v>14</v>
      </c>
      <c r="K610" s="2">
        <v>0</v>
      </c>
      <c r="L610" s="4">
        <v>0.05</v>
      </c>
    </row>
    <row r="611" spans="1:12" x14ac:dyDescent="0.25">
      <c r="A611" s="5">
        <v>45597</v>
      </c>
      <c r="B611" s="1" t="s">
        <v>15</v>
      </c>
      <c r="C611" s="1" t="s">
        <v>13</v>
      </c>
      <c r="D611" s="2">
        <v>5.3499999999999999E-2</v>
      </c>
      <c r="E611" s="3">
        <v>1</v>
      </c>
      <c r="F611" s="2">
        <v>9.7500000000000003E-2</v>
      </c>
      <c r="G611" s="2">
        <v>0</v>
      </c>
      <c r="H611" s="2" t="s">
        <v>14</v>
      </c>
      <c r="I611" s="2" t="s">
        <v>14</v>
      </c>
      <c r="J611" s="2" t="s">
        <v>14</v>
      </c>
      <c r="K611" s="2">
        <v>0</v>
      </c>
      <c r="L611" s="4">
        <v>0.05</v>
      </c>
    </row>
    <row r="612" spans="1:12" x14ac:dyDescent="0.25">
      <c r="A612" s="5">
        <v>45597</v>
      </c>
      <c r="B612" s="1" t="s">
        <v>15</v>
      </c>
      <c r="C612" s="1" t="s">
        <v>16</v>
      </c>
      <c r="D612" s="2">
        <v>3.8300000000000001E-2</v>
      </c>
      <c r="E612" s="3">
        <v>1</v>
      </c>
      <c r="F612" s="2">
        <v>8.5000000000000006E-2</v>
      </c>
      <c r="G612" s="2">
        <v>1.4999999999999999E-2</v>
      </c>
      <c r="H612" s="2" t="s">
        <v>14</v>
      </c>
      <c r="I612" s="2" t="s">
        <v>14</v>
      </c>
      <c r="J612" s="2" t="s">
        <v>14</v>
      </c>
      <c r="K612" s="2">
        <v>0</v>
      </c>
      <c r="L612" s="4">
        <v>0.05</v>
      </c>
    </row>
    <row r="613" spans="1:12" x14ac:dyDescent="0.25">
      <c r="A613" s="5">
        <v>45597</v>
      </c>
      <c r="B613" s="1" t="s">
        <v>15</v>
      </c>
      <c r="C613" s="1" t="s">
        <v>17</v>
      </c>
      <c r="D613" s="2">
        <v>3.5999999999999997E-2</v>
      </c>
      <c r="E613" s="3">
        <v>1</v>
      </c>
      <c r="F613" s="2" t="s">
        <v>14</v>
      </c>
      <c r="G613" s="2">
        <v>0</v>
      </c>
      <c r="H613" s="2" t="s">
        <v>14</v>
      </c>
      <c r="I613" s="2">
        <v>0.08</v>
      </c>
      <c r="J613" s="2" t="s">
        <v>14</v>
      </c>
      <c r="K613" s="2">
        <v>0</v>
      </c>
      <c r="L613" s="4">
        <v>0.05</v>
      </c>
    </row>
    <row r="614" spans="1:12" x14ac:dyDescent="0.25">
      <c r="A614" s="5">
        <v>45597</v>
      </c>
      <c r="B614" s="1" t="s">
        <v>15</v>
      </c>
      <c r="C614" s="1" t="s">
        <v>18</v>
      </c>
      <c r="D614" s="2">
        <v>5.28E-2</v>
      </c>
      <c r="E614" s="3">
        <v>1</v>
      </c>
      <c r="F614" s="2" t="s">
        <v>14</v>
      </c>
      <c r="G614" s="2">
        <v>0</v>
      </c>
      <c r="H614" s="2">
        <v>7.4999999999999997E-2</v>
      </c>
      <c r="I614" s="2" t="s">
        <v>14</v>
      </c>
      <c r="J614" s="2" t="s">
        <v>14</v>
      </c>
      <c r="K614" s="2">
        <v>0</v>
      </c>
      <c r="L614" s="4">
        <v>0.05</v>
      </c>
    </row>
    <row r="615" spans="1:12" x14ac:dyDescent="0.25">
      <c r="A615" s="5">
        <v>45597</v>
      </c>
      <c r="B615" s="1" t="s">
        <v>19</v>
      </c>
      <c r="C615" s="1" t="s">
        <v>13</v>
      </c>
      <c r="D615" s="2">
        <v>4.24E-2</v>
      </c>
      <c r="E615" s="3">
        <v>1</v>
      </c>
      <c r="F615" s="2">
        <v>7.2499999999999995E-2</v>
      </c>
      <c r="G615" s="2">
        <v>0</v>
      </c>
      <c r="H615" s="2" t="s">
        <v>14</v>
      </c>
      <c r="I615" s="2" t="s">
        <v>14</v>
      </c>
      <c r="J615" s="2" t="s">
        <v>14</v>
      </c>
      <c r="K615" s="2">
        <v>0</v>
      </c>
      <c r="L615" s="4">
        <v>0.05</v>
      </c>
    </row>
    <row r="616" spans="1:12" x14ac:dyDescent="0.25">
      <c r="A616" s="5">
        <v>45597</v>
      </c>
      <c r="B616" s="1" t="s">
        <v>19</v>
      </c>
      <c r="C616" s="1" t="s">
        <v>16</v>
      </c>
      <c r="D616" s="2">
        <v>2.63E-2</v>
      </c>
      <c r="E616" s="3">
        <v>1</v>
      </c>
      <c r="F616" s="2">
        <v>0.06</v>
      </c>
      <c r="G616" s="2">
        <v>1.4999999999999999E-2</v>
      </c>
      <c r="H616" s="2" t="s">
        <v>14</v>
      </c>
      <c r="I616" s="2" t="s">
        <v>14</v>
      </c>
      <c r="J616" s="2" t="s">
        <v>14</v>
      </c>
      <c r="K616" s="2">
        <v>0</v>
      </c>
      <c r="L616" s="4">
        <v>0.05</v>
      </c>
    </row>
    <row r="617" spans="1:12" x14ac:dyDescent="0.25">
      <c r="A617" s="5">
        <v>45597</v>
      </c>
      <c r="B617" s="1" t="s">
        <v>19</v>
      </c>
      <c r="C617" s="1" t="s">
        <v>17</v>
      </c>
      <c r="D617" s="2">
        <v>3.1399999999999997E-2</v>
      </c>
      <c r="E617" s="3">
        <v>1</v>
      </c>
      <c r="F617" s="2" t="s">
        <v>14</v>
      </c>
      <c r="G617" s="2">
        <v>0</v>
      </c>
      <c r="H617" s="2" t="s">
        <v>14</v>
      </c>
      <c r="I617" s="2">
        <v>0.09</v>
      </c>
      <c r="J617" s="2" t="s">
        <v>14</v>
      </c>
      <c r="K617" s="2">
        <v>0</v>
      </c>
      <c r="L617" s="4">
        <v>0.05</v>
      </c>
    </row>
    <row r="618" spans="1:12" x14ac:dyDescent="0.25">
      <c r="A618" s="5">
        <v>45597</v>
      </c>
      <c r="B618" s="1" t="s">
        <v>19</v>
      </c>
      <c r="C618" s="1" t="s">
        <v>18</v>
      </c>
      <c r="D618" s="2">
        <v>4.2200000000000001E-2</v>
      </c>
      <c r="E618" s="3">
        <v>1</v>
      </c>
      <c r="F618" s="2" t="s">
        <v>14</v>
      </c>
      <c r="G618" s="2">
        <v>0</v>
      </c>
      <c r="H618" s="2">
        <v>0.06</v>
      </c>
      <c r="I618" s="2" t="s">
        <v>14</v>
      </c>
      <c r="J618" s="2" t="s">
        <v>14</v>
      </c>
      <c r="K618" s="2">
        <v>0</v>
      </c>
      <c r="L618" s="4">
        <v>0.05</v>
      </c>
    </row>
    <row r="619" spans="1:12" x14ac:dyDescent="0.25">
      <c r="A619" s="5">
        <v>45597</v>
      </c>
      <c r="B619" s="1" t="s">
        <v>20</v>
      </c>
      <c r="C619" s="1" t="s">
        <v>13</v>
      </c>
      <c r="D619" s="2">
        <v>5.3499999999999999E-2</v>
      </c>
      <c r="E619" s="3">
        <v>1</v>
      </c>
      <c r="F619" s="2">
        <v>9.7500000000000003E-2</v>
      </c>
      <c r="G619" s="2">
        <v>0</v>
      </c>
      <c r="H619" s="2" t="s">
        <v>14</v>
      </c>
      <c r="I619" s="2" t="s">
        <v>14</v>
      </c>
      <c r="J619" s="2" t="s">
        <v>14</v>
      </c>
      <c r="K619" s="2">
        <v>0</v>
      </c>
      <c r="L619" s="4">
        <v>0.05</v>
      </c>
    </row>
    <row r="620" spans="1:12" x14ac:dyDescent="0.25">
      <c r="A620" s="5">
        <v>45597</v>
      </c>
      <c r="B620" s="1" t="s">
        <v>20</v>
      </c>
      <c r="C620" s="1" t="s">
        <v>17</v>
      </c>
      <c r="D620" s="2">
        <v>3.5999999999999997E-2</v>
      </c>
      <c r="E620" s="3">
        <v>1</v>
      </c>
      <c r="F620" s="2" t="s">
        <v>14</v>
      </c>
      <c r="G620" s="2">
        <v>0</v>
      </c>
      <c r="H620" s="2" t="s">
        <v>14</v>
      </c>
      <c r="I620" s="2">
        <v>0.08</v>
      </c>
      <c r="J620" s="2" t="s">
        <v>14</v>
      </c>
      <c r="K620" s="2">
        <v>0</v>
      </c>
      <c r="L620" s="4">
        <v>0.05</v>
      </c>
    </row>
    <row r="621" spans="1:12" x14ac:dyDescent="0.25">
      <c r="A621" s="5">
        <v>45597</v>
      </c>
      <c r="B621" s="1" t="s">
        <v>20</v>
      </c>
      <c r="C621" s="1" t="s">
        <v>21</v>
      </c>
      <c r="D621" s="2">
        <v>6.1199999999999997E-2</v>
      </c>
      <c r="E621" s="3">
        <v>1</v>
      </c>
      <c r="F621" s="2">
        <v>0.12</v>
      </c>
      <c r="G621" s="2">
        <v>0</v>
      </c>
      <c r="H621" s="2" t="s">
        <v>14</v>
      </c>
      <c r="I621" s="2" t="s">
        <v>14</v>
      </c>
      <c r="J621" s="2">
        <v>4.1500000000000002E-2</v>
      </c>
      <c r="K621" s="2">
        <v>0.6</v>
      </c>
      <c r="L621" s="4">
        <v>0.05</v>
      </c>
    </row>
    <row r="622" spans="1:12" x14ac:dyDescent="0.25">
      <c r="A622" s="5">
        <v>45597</v>
      </c>
      <c r="B622" s="1" t="s">
        <v>20</v>
      </c>
      <c r="C622" s="1" t="s">
        <v>22</v>
      </c>
      <c r="D622" s="2">
        <v>6.1199999999999997E-2</v>
      </c>
      <c r="E622" s="3">
        <v>1</v>
      </c>
      <c r="F622" s="2">
        <v>0.12</v>
      </c>
      <c r="G622" s="2">
        <v>0</v>
      </c>
      <c r="H622" s="2" t="s">
        <v>14</v>
      </c>
      <c r="I622" s="2" t="s">
        <v>14</v>
      </c>
      <c r="J622" s="2">
        <v>2.1499999999999998E-2</v>
      </c>
      <c r="K622" s="2">
        <v>0.24</v>
      </c>
      <c r="L622" s="4">
        <v>0.05</v>
      </c>
    </row>
    <row r="623" spans="1:12" x14ac:dyDescent="0.25">
      <c r="A623" s="5">
        <v>45597</v>
      </c>
      <c r="B623" s="1" t="s">
        <v>23</v>
      </c>
      <c r="C623" s="1" t="s">
        <v>24</v>
      </c>
      <c r="D623" s="2">
        <v>2.3607997265530249E-2</v>
      </c>
      <c r="E623" s="3">
        <v>2.4</v>
      </c>
      <c r="F623" s="2" t="s">
        <v>14</v>
      </c>
      <c r="G623" s="2">
        <v>0</v>
      </c>
      <c r="H623" s="2" t="s">
        <v>14</v>
      </c>
      <c r="I623" s="2" t="s">
        <v>14</v>
      </c>
      <c r="J623" s="2" t="s">
        <v>14</v>
      </c>
      <c r="K623" s="2">
        <v>0</v>
      </c>
      <c r="L623" s="4">
        <v>0.05</v>
      </c>
    </row>
    <row r="624" spans="1:12" x14ac:dyDescent="0.25">
      <c r="A624" s="5">
        <v>45597</v>
      </c>
      <c r="B624" s="1" t="s">
        <v>23</v>
      </c>
      <c r="C624" s="1" t="s">
        <v>25</v>
      </c>
      <c r="D624" s="2">
        <v>5.2956506917803757E-2</v>
      </c>
      <c r="E624" s="3">
        <v>1</v>
      </c>
      <c r="F624" s="2">
        <v>0.10249999999999999</v>
      </c>
      <c r="G624" s="2">
        <v>0</v>
      </c>
      <c r="H624" s="2" t="s">
        <v>14</v>
      </c>
      <c r="I624" s="2" t="s">
        <v>14</v>
      </c>
      <c r="J624" s="2" t="s">
        <v>14</v>
      </c>
      <c r="K624" s="2">
        <v>0</v>
      </c>
      <c r="L624" s="4">
        <v>0.05</v>
      </c>
    </row>
    <row r="625" spans="1:12" x14ac:dyDescent="0.25">
      <c r="A625" s="5">
        <v>45597</v>
      </c>
      <c r="B625" s="1" t="s">
        <v>23</v>
      </c>
      <c r="C625" s="1" t="s">
        <v>13</v>
      </c>
      <c r="D625" s="2">
        <v>5.5399999999999998E-2</v>
      </c>
      <c r="E625" s="3">
        <v>1</v>
      </c>
      <c r="F625" s="2">
        <v>0.10249999999999999</v>
      </c>
      <c r="G625" s="2">
        <v>0</v>
      </c>
      <c r="H625" s="2" t="s">
        <v>14</v>
      </c>
      <c r="I625" s="2" t="s">
        <v>14</v>
      </c>
      <c r="J625" s="2" t="s">
        <v>14</v>
      </c>
      <c r="K625" s="2">
        <v>0</v>
      </c>
      <c r="L625" s="4">
        <v>0.05</v>
      </c>
    </row>
    <row r="626" spans="1:12" x14ac:dyDescent="0.25">
      <c r="A626" s="5">
        <v>45597</v>
      </c>
      <c r="B626" s="1" t="s">
        <v>23</v>
      </c>
      <c r="C626" s="1" t="s">
        <v>17</v>
      </c>
      <c r="D626" s="2">
        <v>3.5999999999999997E-2</v>
      </c>
      <c r="E626" s="3">
        <v>1</v>
      </c>
      <c r="F626" s="2" t="s">
        <v>14</v>
      </c>
      <c r="G626" s="2">
        <v>0</v>
      </c>
      <c r="H626" s="2" t="s">
        <v>14</v>
      </c>
      <c r="I626" s="2">
        <v>0.08</v>
      </c>
      <c r="J626" s="2" t="s">
        <v>14</v>
      </c>
      <c r="K626" s="2">
        <v>0</v>
      </c>
      <c r="L626" s="4">
        <v>0.05</v>
      </c>
    </row>
    <row r="627" spans="1:12" x14ac:dyDescent="0.25">
      <c r="A627" s="5">
        <v>45597</v>
      </c>
      <c r="B627" s="1" t="s">
        <v>23</v>
      </c>
      <c r="C627" s="1" t="s">
        <v>21</v>
      </c>
      <c r="D627" s="2">
        <v>6.1199999999999997E-2</v>
      </c>
      <c r="E627" s="3">
        <v>1</v>
      </c>
      <c r="F627" s="2">
        <v>0.12</v>
      </c>
      <c r="G627" s="2">
        <v>0</v>
      </c>
      <c r="H627" s="2" t="s">
        <v>14</v>
      </c>
      <c r="I627" s="2" t="s">
        <v>14</v>
      </c>
      <c r="J627" s="2">
        <v>4.1500000000000002E-2</v>
      </c>
      <c r="K627" s="2">
        <v>0.6</v>
      </c>
      <c r="L627" s="4">
        <v>0.05</v>
      </c>
    </row>
    <row r="628" spans="1:12" x14ac:dyDescent="0.25">
      <c r="A628" s="5">
        <v>45597</v>
      </c>
      <c r="B628" s="1" t="s">
        <v>23</v>
      </c>
      <c r="C628" s="1" t="s">
        <v>22</v>
      </c>
      <c r="D628" s="2">
        <v>6.1199999999999997E-2</v>
      </c>
      <c r="E628" s="3">
        <v>1</v>
      </c>
      <c r="F628" s="2">
        <v>0.12</v>
      </c>
      <c r="G628" s="2">
        <v>0</v>
      </c>
      <c r="H628" s="2" t="s">
        <v>14</v>
      </c>
      <c r="I628" s="2" t="s">
        <v>14</v>
      </c>
      <c r="J628" s="2">
        <v>2.1499999999999998E-2</v>
      </c>
      <c r="K628" s="2">
        <v>0.24</v>
      </c>
      <c r="L628" s="4">
        <v>0.05</v>
      </c>
    </row>
    <row r="629" spans="1:12" x14ac:dyDescent="0.25">
      <c r="A629" s="5">
        <v>45597</v>
      </c>
      <c r="B629" s="1" t="s">
        <v>26</v>
      </c>
      <c r="C629" s="1" t="s">
        <v>24</v>
      </c>
      <c r="D629" s="2">
        <v>2.3607997265530249E-2</v>
      </c>
      <c r="E629" s="3">
        <v>2.4</v>
      </c>
      <c r="F629" s="2" t="s">
        <v>14</v>
      </c>
      <c r="G629" s="2">
        <v>0</v>
      </c>
      <c r="H629" s="2" t="s">
        <v>14</v>
      </c>
      <c r="I629" s="2" t="s">
        <v>14</v>
      </c>
      <c r="J629" s="2" t="s">
        <v>14</v>
      </c>
      <c r="K629" s="2">
        <v>0</v>
      </c>
      <c r="L629" s="4">
        <v>0.05</v>
      </c>
    </row>
    <row r="630" spans="1:12" x14ac:dyDescent="0.25">
      <c r="A630" s="5">
        <v>45597</v>
      </c>
      <c r="B630" s="1" t="s">
        <v>26</v>
      </c>
      <c r="C630" s="1" t="s">
        <v>25</v>
      </c>
      <c r="D630" s="2">
        <v>5.2999999999999999E-2</v>
      </c>
      <c r="E630" s="3">
        <v>1</v>
      </c>
      <c r="F630" s="2">
        <v>0.1</v>
      </c>
      <c r="G630" s="2">
        <v>0</v>
      </c>
      <c r="H630" s="2" t="s">
        <v>14</v>
      </c>
      <c r="I630" s="2" t="s">
        <v>14</v>
      </c>
      <c r="J630" s="2" t="s">
        <v>14</v>
      </c>
      <c r="K630" s="2">
        <v>0</v>
      </c>
      <c r="L630" s="4">
        <v>0.05</v>
      </c>
    </row>
    <row r="631" spans="1:12" x14ac:dyDescent="0.25">
      <c r="A631" s="5">
        <v>45597</v>
      </c>
      <c r="B631" s="1" t="s">
        <v>26</v>
      </c>
      <c r="C631" s="1" t="s">
        <v>13</v>
      </c>
      <c r="D631" s="2">
        <v>5.45E-2</v>
      </c>
      <c r="E631" s="3">
        <v>1</v>
      </c>
      <c r="F631" s="2">
        <v>0.1</v>
      </c>
      <c r="G631" s="2">
        <v>0</v>
      </c>
      <c r="H631" s="2" t="s">
        <v>14</v>
      </c>
      <c r="I631" s="2" t="s">
        <v>14</v>
      </c>
      <c r="J631" s="2" t="s">
        <v>14</v>
      </c>
      <c r="K631" s="2">
        <v>0</v>
      </c>
      <c r="L631" s="4">
        <v>0.05</v>
      </c>
    </row>
    <row r="632" spans="1:12" x14ac:dyDescent="0.25">
      <c r="A632" s="5">
        <v>45597</v>
      </c>
      <c r="B632" s="1" t="s">
        <v>26</v>
      </c>
      <c r="C632" s="1" t="s">
        <v>17</v>
      </c>
      <c r="D632" s="2">
        <v>3.5999999999999997E-2</v>
      </c>
      <c r="E632" s="3">
        <v>1</v>
      </c>
      <c r="F632" s="2" t="s">
        <v>14</v>
      </c>
      <c r="G632" s="2">
        <v>0</v>
      </c>
      <c r="H632" s="2" t="s">
        <v>14</v>
      </c>
      <c r="I632" s="2">
        <v>0.08</v>
      </c>
      <c r="J632" s="2" t="s">
        <v>14</v>
      </c>
      <c r="K632" s="2">
        <v>0</v>
      </c>
      <c r="L632" s="4">
        <v>0.05</v>
      </c>
    </row>
    <row r="633" spans="1:12" x14ac:dyDescent="0.25">
      <c r="A633" s="5">
        <v>45597</v>
      </c>
      <c r="B633" s="1" t="s">
        <v>26</v>
      </c>
      <c r="C633" s="1" t="s">
        <v>21</v>
      </c>
      <c r="D633" s="2">
        <v>6.1199999999999997E-2</v>
      </c>
      <c r="E633" s="3">
        <v>1</v>
      </c>
      <c r="F633" s="2">
        <v>0.12</v>
      </c>
      <c r="G633" s="2">
        <v>0</v>
      </c>
      <c r="H633" s="2" t="s">
        <v>14</v>
      </c>
      <c r="I633" s="2" t="s">
        <v>14</v>
      </c>
      <c r="J633" s="2">
        <v>4.1500000000000002E-2</v>
      </c>
      <c r="K633" s="2">
        <v>0.6</v>
      </c>
      <c r="L633" s="4">
        <v>0.05</v>
      </c>
    </row>
    <row r="634" spans="1:12" x14ac:dyDescent="0.25">
      <c r="A634" s="5">
        <v>45597</v>
      </c>
      <c r="B634" s="1" t="s">
        <v>26</v>
      </c>
      <c r="C634" s="1" t="s">
        <v>22</v>
      </c>
      <c r="D634" s="2">
        <v>6.1199999999999997E-2</v>
      </c>
      <c r="E634" s="3">
        <v>1</v>
      </c>
      <c r="F634" s="2">
        <v>0.12</v>
      </c>
      <c r="G634" s="2">
        <v>0</v>
      </c>
      <c r="H634" s="2" t="s">
        <v>14</v>
      </c>
      <c r="I634" s="2" t="s">
        <v>14</v>
      </c>
      <c r="J634" s="2">
        <v>2.1499999999999998E-2</v>
      </c>
      <c r="K634" s="2">
        <v>0.24</v>
      </c>
      <c r="L634" s="4">
        <v>0.05</v>
      </c>
    </row>
    <row r="635" spans="1:12" x14ac:dyDescent="0.25">
      <c r="A635" s="5">
        <v>45597</v>
      </c>
      <c r="B635" s="1" t="s">
        <v>27</v>
      </c>
      <c r="C635" s="1" t="s">
        <v>13</v>
      </c>
      <c r="D635" s="2">
        <v>5.1456384733891705E-2</v>
      </c>
      <c r="E635" s="3">
        <v>1</v>
      </c>
      <c r="F635" s="2">
        <v>9.2499999999999999E-2</v>
      </c>
      <c r="G635" s="2">
        <v>0</v>
      </c>
      <c r="H635" s="2" t="s">
        <v>14</v>
      </c>
      <c r="I635" s="2" t="s">
        <v>14</v>
      </c>
      <c r="J635" s="2" t="s">
        <v>14</v>
      </c>
      <c r="K635" s="2">
        <v>0</v>
      </c>
      <c r="L635" s="4">
        <v>0.05</v>
      </c>
    </row>
    <row r="636" spans="1:12" x14ac:dyDescent="0.25">
      <c r="A636" s="5">
        <v>45597</v>
      </c>
      <c r="B636" s="1" t="s">
        <v>27</v>
      </c>
      <c r="C636" s="1" t="s">
        <v>17</v>
      </c>
      <c r="D636" s="2">
        <v>3.1418848350972438E-2</v>
      </c>
      <c r="E636" s="3">
        <v>1</v>
      </c>
      <c r="F636" s="2" t="s">
        <v>14</v>
      </c>
      <c r="G636" s="2">
        <v>0</v>
      </c>
      <c r="H636" s="2" t="s">
        <v>14</v>
      </c>
      <c r="I636" s="2">
        <v>0.09</v>
      </c>
      <c r="J636" s="2" t="s">
        <v>14</v>
      </c>
      <c r="K636" s="2">
        <v>0</v>
      </c>
      <c r="L636" s="4">
        <v>0.05</v>
      </c>
    </row>
    <row r="637" spans="1:12" x14ac:dyDescent="0.25">
      <c r="A637" s="5">
        <v>45597</v>
      </c>
      <c r="B637" s="1" t="s">
        <v>27</v>
      </c>
      <c r="C637" s="1" t="s">
        <v>24</v>
      </c>
      <c r="D637" s="2">
        <v>2.3607997265530249E-2</v>
      </c>
      <c r="E637" s="3">
        <v>2.2000000000000002</v>
      </c>
      <c r="F637" s="2" t="s">
        <v>14</v>
      </c>
      <c r="G637" s="2">
        <v>0</v>
      </c>
      <c r="H637" s="2" t="s">
        <v>14</v>
      </c>
      <c r="I637" s="2" t="s">
        <v>14</v>
      </c>
      <c r="J637" s="2" t="s">
        <v>14</v>
      </c>
      <c r="K637" s="2">
        <v>0</v>
      </c>
      <c r="L637" s="4">
        <v>0.05</v>
      </c>
    </row>
    <row r="638" spans="1:12" x14ac:dyDescent="0.25">
      <c r="A638" s="5">
        <v>45597</v>
      </c>
      <c r="B638" s="1" t="s">
        <v>27</v>
      </c>
      <c r="C638" s="1" t="s">
        <v>25</v>
      </c>
      <c r="D638" s="2">
        <v>4.874000037812086E-2</v>
      </c>
      <c r="E638" s="3">
        <v>1</v>
      </c>
      <c r="F638" s="2">
        <v>9.2499999999999999E-2</v>
      </c>
      <c r="G638" s="2">
        <v>0</v>
      </c>
      <c r="H638" s="2" t="s">
        <v>14</v>
      </c>
      <c r="I638" s="2" t="s">
        <v>14</v>
      </c>
      <c r="J638" s="2" t="s">
        <v>14</v>
      </c>
      <c r="K638" s="2">
        <v>0</v>
      </c>
      <c r="L638" s="4">
        <v>0.05</v>
      </c>
    </row>
    <row r="639" spans="1:12" x14ac:dyDescent="0.25">
      <c r="A639" s="5">
        <v>45597</v>
      </c>
      <c r="B639" s="1" t="s">
        <v>30</v>
      </c>
      <c r="C639" s="1" t="s">
        <v>13</v>
      </c>
      <c r="D639" s="2">
        <v>5.2498467875357613E-2</v>
      </c>
      <c r="E639" s="3">
        <v>1</v>
      </c>
      <c r="F639" s="2">
        <v>9.5000000000000001E-2</v>
      </c>
      <c r="G639" s="2">
        <v>0</v>
      </c>
      <c r="H639" s="2" t="s">
        <v>14</v>
      </c>
      <c r="I639" s="2" t="s">
        <v>14</v>
      </c>
      <c r="J639" s="2" t="s">
        <v>14</v>
      </c>
      <c r="K639" s="2">
        <v>0</v>
      </c>
      <c r="L639" s="4">
        <v>0.05</v>
      </c>
    </row>
    <row r="640" spans="1:12" x14ac:dyDescent="0.25">
      <c r="A640" s="5">
        <v>45597</v>
      </c>
      <c r="B640" s="1" t="s">
        <v>30</v>
      </c>
      <c r="C640" s="1" t="s">
        <v>17</v>
      </c>
      <c r="D640" s="2">
        <v>3.1418848350972438E-2</v>
      </c>
      <c r="E640" s="3">
        <v>1</v>
      </c>
      <c r="F640" s="2" t="s">
        <v>14</v>
      </c>
      <c r="G640" s="2">
        <v>0</v>
      </c>
      <c r="H640" s="2" t="s">
        <v>14</v>
      </c>
      <c r="I640" s="2">
        <v>0.09</v>
      </c>
      <c r="J640" s="2" t="s">
        <v>14</v>
      </c>
      <c r="K640" s="2">
        <v>0</v>
      </c>
      <c r="L640" s="4">
        <v>0.05</v>
      </c>
    </row>
    <row r="641" spans="1:12" x14ac:dyDescent="0.25">
      <c r="A641" s="5">
        <v>45597</v>
      </c>
      <c r="B641" s="1" t="s">
        <v>30</v>
      </c>
      <c r="C641" s="1" t="s">
        <v>24</v>
      </c>
      <c r="D641" s="2">
        <v>2.3607997265530249E-2</v>
      </c>
      <c r="E641" s="3">
        <v>2.2000000000000002</v>
      </c>
      <c r="F641" s="2" t="s">
        <v>14</v>
      </c>
      <c r="G641" s="2">
        <v>0</v>
      </c>
      <c r="H641" s="2" t="s">
        <v>14</v>
      </c>
      <c r="I641" s="2" t="s">
        <v>14</v>
      </c>
      <c r="J641" s="2" t="s">
        <v>14</v>
      </c>
      <c r="K641" s="2">
        <v>0</v>
      </c>
      <c r="L641" s="4">
        <v>0.05</v>
      </c>
    </row>
    <row r="642" spans="1:12" x14ac:dyDescent="0.25">
      <c r="A642" s="5">
        <v>45597</v>
      </c>
      <c r="B642" s="1" t="s">
        <v>30</v>
      </c>
      <c r="C642" s="1" t="s">
        <v>25</v>
      </c>
      <c r="D642" s="2">
        <v>4.9820544558790029E-2</v>
      </c>
      <c r="E642" s="3">
        <v>1</v>
      </c>
      <c r="F642" s="2">
        <v>9.5000000000000001E-2</v>
      </c>
      <c r="G642" s="2">
        <v>0</v>
      </c>
      <c r="H642" s="2" t="s">
        <v>14</v>
      </c>
      <c r="I642" s="2" t="s">
        <v>14</v>
      </c>
      <c r="J642" s="2" t="s">
        <v>14</v>
      </c>
      <c r="K642" s="2">
        <v>0</v>
      </c>
      <c r="L642" s="4">
        <v>0.05</v>
      </c>
    </row>
    <row r="643" spans="1:12" x14ac:dyDescent="0.25">
      <c r="A643" s="5">
        <v>45597</v>
      </c>
      <c r="B643" s="1" t="s">
        <v>28</v>
      </c>
      <c r="C643" s="1" t="s">
        <v>13</v>
      </c>
      <c r="D643" s="2">
        <v>4.82E-2</v>
      </c>
      <c r="E643" s="3">
        <v>1</v>
      </c>
      <c r="F643" s="2">
        <v>8.5000000000000006E-2</v>
      </c>
      <c r="G643" s="2">
        <v>0</v>
      </c>
      <c r="H643" s="2" t="s">
        <v>14</v>
      </c>
      <c r="I643" s="2" t="s">
        <v>14</v>
      </c>
      <c r="J643" s="2" t="s">
        <v>14</v>
      </c>
      <c r="K643" s="2">
        <v>0</v>
      </c>
      <c r="L643" s="4">
        <v>0.05</v>
      </c>
    </row>
    <row r="644" spans="1:12" x14ac:dyDescent="0.25">
      <c r="A644" s="5">
        <v>45597</v>
      </c>
      <c r="B644" s="1" t="s">
        <v>28</v>
      </c>
      <c r="C644" s="1" t="s">
        <v>16</v>
      </c>
      <c r="D644" s="2">
        <v>3.1399999999999997E-2</v>
      </c>
      <c r="E644" s="3">
        <v>1</v>
      </c>
      <c r="F644" s="2">
        <v>7.0000000000000007E-2</v>
      </c>
      <c r="G644" s="2">
        <v>1.4999999999999999E-2</v>
      </c>
      <c r="H644" s="2" t="s">
        <v>14</v>
      </c>
      <c r="I644" s="2" t="s">
        <v>14</v>
      </c>
      <c r="J644" s="2" t="s">
        <v>14</v>
      </c>
      <c r="K644" s="2">
        <v>0</v>
      </c>
      <c r="L644" s="4">
        <v>0.05</v>
      </c>
    </row>
    <row r="645" spans="1:12" x14ac:dyDescent="0.25">
      <c r="A645" s="5">
        <v>45597</v>
      </c>
      <c r="B645" s="1" t="s">
        <v>28</v>
      </c>
      <c r="C645" s="1" t="s">
        <v>17</v>
      </c>
      <c r="D645" s="2">
        <v>3.7199999999999997E-2</v>
      </c>
      <c r="E645" s="3">
        <v>1</v>
      </c>
      <c r="F645" s="2" t="s">
        <v>14</v>
      </c>
      <c r="G645" s="2">
        <v>0</v>
      </c>
      <c r="H645" s="2" t="s">
        <v>14</v>
      </c>
      <c r="I645" s="2">
        <v>7.7499999999999999E-2</v>
      </c>
      <c r="J645" s="2" t="s">
        <v>14</v>
      </c>
      <c r="K645" s="2">
        <v>0</v>
      </c>
      <c r="L645" s="4">
        <v>0.05</v>
      </c>
    </row>
    <row r="646" spans="1:12" x14ac:dyDescent="0.25">
      <c r="A646" s="5">
        <v>45597</v>
      </c>
      <c r="B646" s="1" t="s">
        <v>28</v>
      </c>
      <c r="C646" s="1" t="s">
        <v>18</v>
      </c>
      <c r="D646" s="2">
        <v>4.5699999999999998E-2</v>
      </c>
      <c r="E646" s="3">
        <v>1</v>
      </c>
      <c r="F646" s="2" t="s">
        <v>14</v>
      </c>
      <c r="G646" s="2">
        <v>0</v>
      </c>
      <c r="H646" s="2">
        <v>6.5000000000000002E-2</v>
      </c>
      <c r="I646" s="2" t="s">
        <v>14</v>
      </c>
      <c r="J646" s="2" t="s">
        <v>14</v>
      </c>
      <c r="K646" s="2">
        <v>0</v>
      </c>
      <c r="L646" s="4">
        <v>0.05</v>
      </c>
    </row>
    <row r="647" spans="1:12" x14ac:dyDescent="0.25">
      <c r="A647" s="5">
        <v>45597</v>
      </c>
      <c r="B647" s="1" t="s">
        <v>29</v>
      </c>
      <c r="C647" s="1" t="s">
        <v>13</v>
      </c>
      <c r="D647" s="2">
        <v>4.48E-2</v>
      </c>
      <c r="E647" s="3">
        <v>1</v>
      </c>
      <c r="F647" s="2">
        <v>7.7499999999999999E-2</v>
      </c>
      <c r="G647" s="2">
        <v>0</v>
      </c>
      <c r="H647" s="2" t="s">
        <v>14</v>
      </c>
      <c r="I647" s="2" t="s">
        <v>14</v>
      </c>
      <c r="J647" s="2" t="s">
        <v>14</v>
      </c>
      <c r="K647" s="2">
        <v>0</v>
      </c>
      <c r="L647" s="4">
        <v>0.05</v>
      </c>
    </row>
    <row r="648" spans="1:12" x14ac:dyDescent="0.25">
      <c r="A648" s="5">
        <v>45597</v>
      </c>
      <c r="B648" s="1" t="s">
        <v>29</v>
      </c>
      <c r="C648" s="1" t="s">
        <v>16</v>
      </c>
      <c r="D648" s="2">
        <v>2.5000000000000001E-2</v>
      </c>
      <c r="E648" s="3">
        <v>1</v>
      </c>
      <c r="F648" s="2">
        <v>5.7500000000000002E-2</v>
      </c>
      <c r="G648" s="2">
        <v>1.4999999999999999E-2</v>
      </c>
      <c r="H648" s="2" t="s">
        <v>14</v>
      </c>
      <c r="I648" s="2" t="s">
        <v>14</v>
      </c>
      <c r="J648" s="2" t="s">
        <v>14</v>
      </c>
      <c r="K648" s="2">
        <v>0</v>
      </c>
      <c r="L648" s="4">
        <v>0.05</v>
      </c>
    </row>
    <row r="649" spans="1:12" x14ac:dyDescent="0.25">
      <c r="A649" s="5">
        <v>45597</v>
      </c>
      <c r="B649" s="1" t="s">
        <v>29</v>
      </c>
      <c r="C649" s="1" t="s">
        <v>17</v>
      </c>
      <c r="D649" s="2">
        <v>3.2800000000000003E-2</v>
      </c>
      <c r="E649" s="3">
        <v>1</v>
      </c>
      <c r="F649" s="2" t="s">
        <v>14</v>
      </c>
      <c r="G649" s="2">
        <v>0</v>
      </c>
      <c r="H649" s="2" t="s">
        <v>14</v>
      </c>
      <c r="I649" s="2">
        <v>8.6999999999999994E-2</v>
      </c>
      <c r="J649" s="2" t="s">
        <v>14</v>
      </c>
      <c r="K649" s="2">
        <v>0</v>
      </c>
      <c r="L649" s="4">
        <v>0.05</v>
      </c>
    </row>
    <row r="650" spans="1:12" x14ac:dyDescent="0.25">
      <c r="A650" s="5">
        <v>45597</v>
      </c>
      <c r="B650" s="1" t="s">
        <v>29</v>
      </c>
      <c r="C650" s="1" t="s">
        <v>18</v>
      </c>
      <c r="D650" s="2">
        <v>4.0099999999999997E-2</v>
      </c>
      <c r="E650" s="3">
        <v>1</v>
      </c>
      <c r="F650" s="2" t="s">
        <v>14</v>
      </c>
      <c r="G650" s="2">
        <v>0</v>
      </c>
      <c r="H650" s="2">
        <v>5.7000000000000002E-2</v>
      </c>
      <c r="I650" s="2" t="s">
        <v>14</v>
      </c>
      <c r="J650" s="2" t="s">
        <v>14</v>
      </c>
      <c r="K650" s="2">
        <v>0</v>
      </c>
      <c r="L650" s="4">
        <v>0.05</v>
      </c>
    </row>
    <row r="651" spans="1:12" x14ac:dyDescent="0.25">
      <c r="A651" s="5">
        <v>45628</v>
      </c>
      <c r="B651" s="1" t="s">
        <v>12</v>
      </c>
      <c r="C651" s="1" t="s">
        <v>13</v>
      </c>
      <c r="D651" s="2">
        <v>5.3100000000000001E-2</v>
      </c>
      <c r="E651" s="3">
        <v>1</v>
      </c>
      <c r="F651" s="2">
        <v>9.7500000000000003E-2</v>
      </c>
      <c r="G651" s="2">
        <v>0</v>
      </c>
      <c r="H651" s="2" t="s">
        <v>14</v>
      </c>
      <c r="I651" s="2" t="s">
        <v>14</v>
      </c>
      <c r="J651" s="2" t="s">
        <v>14</v>
      </c>
      <c r="K651" s="2">
        <v>0</v>
      </c>
      <c r="L651" s="4">
        <v>0.05</v>
      </c>
    </row>
    <row r="652" spans="1:12" x14ac:dyDescent="0.25">
      <c r="A652" s="5">
        <v>45628</v>
      </c>
      <c r="B652" s="1" t="s">
        <v>15</v>
      </c>
      <c r="C652" s="1" t="s">
        <v>13</v>
      </c>
      <c r="D652" s="2">
        <v>5.3100000000000001E-2</v>
      </c>
      <c r="E652" s="3">
        <v>1</v>
      </c>
      <c r="F652" s="2">
        <v>9.7500000000000003E-2</v>
      </c>
      <c r="G652" s="2">
        <v>0</v>
      </c>
      <c r="H652" s="2" t="s">
        <v>14</v>
      </c>
      <c r="I652" s="2" t="s">
        <v>14</v>
      </c>
      <c r="J652" s="2" t="s">
        <v>14</v>
      </c>
      <c r="K652" s="2">
        <v>0</v>
      </c>
      <c r="L652" s="4">
        <v>0.05</v>
      </c>
    </row>
    <row r="653" spans="1:12" x14ac:dyDescent="0.25">
      <c r="A653" s="5">
        <v>45628</v>
      </c>
      <c r="B653" s="1" t="s">
        <v>15</v>
      </c>
      <c r="C653" s="1" t="s">
        <v>16</v>
      </c>
      <c r="D653" s="2">
        <v>3.7999999999999999E-2</v>
      </c>
      <c r="E653" s="3">
        <v>1</v>
      </c>
      <c r="F653" s="2">
        <v>8.5000000000000006E-2</v>
      </c>
      <c r="G653" s="2">
        <v>1.4999999999999999E-2</v>
      </c>
      <c r="H653" s="2" t="s">
        <v>14</v>
      </c>
      <c r="I653" s="2" t="s">
        <v>14</v>
      </c>
      <c r="J653" s="2" t="s">
        <v>14</v>
      </c>
      <c r="K653" s="2">
        <v>0</v>
      </c>
      <c r="L653" s="4">
        <v>0.05</v>
      </c>
    </row>
    <row r="654" spans="1:12" x14ac:dyDescent="0.25">
      <c r="A654" s="5">
        <v>45628</v>
      </c>
      <c r="B654" s="1" t="s">
        <v>15</v>
      </c>
      <c r="C654" s="1" t="s">
        <v>17</v>
      </c>
      <c r="D654" s="2">
        <v>3.7600000000000001E-2</v>
      </c>
      <c r="E654" s="3">
        <v>1</v>
      </c>
      <c r="F654" s="2" t="s">
        <v>14</v>
      </c>
      <c r="G654" s="2">
        <v>0</v>
      </c>
      <c r="H654" s="2" t="s">
        <v>14</v>
      </c>
      <c r="I654" s="2">
        <v>0.08</v>
      </c>
      <c r="J654" s="2" t="s">
        <v>14</v>
      </c>
      <c r="K654" s="2">
        <v>0</v>
      </c>
      <c r="L654" s="4">
        <v>0.05</v>
      </c>
    </row>
    <row r="655" spans="1:12" x14ac:dyDescent="0.25">
      <c r="A655" s="5">
        <v>45628</v>
      </c>
      <c r="B655" s="1" t="s">
        <v>15</v>
      </c>
      <c r="C655" s="1" t="s">
        <v>18</v>
      </c>
      <c r="D655" s="2">
        <v>5.2999999999999999E-2</v>
      </c>
      <c r="E655" s="3">
        <v>1</v>
      </c>
      <c r="F655" s="2" t="s">
        <v>14</v>
      </c>
      <c r="G655" s="2">
        <v>0</v>
      </c>
      <c r="H655" s="2">
        <v>7.4999999999999997E-2</v>
      </c>
      <c r="I655" s="2" t="s">
        <v>14</v>
      </c>
      <c r="J655" s="2" t="s">
        <v>14</v>
      </c>
      <c r="K655" s="2">
        <v>0</v>
      </c>
      <c r="L655" s="4">
        <v>0.05</v>
      </c>
    </row>
    <row r="656" spans="1:12" x14ac:dyDescent="0.25">
      <c r="A656" s="5">
        <v>45628</v>
      </c>
      <c r="B656" s="1" t="s">
        <v>19</v>
      </c>
      <c r="C656" s="1" t="s">
        <v>13</v>
      </c>
      <c r="D656" s="2">
        <v>4.2099999999999999E-2</v>
      </c>
      <c r="E656" s="3">
        <v>1</v>
      </c>
      <c r="F656" s="2">
        <v>7.2499999999999995E-2</v>
      </c>
      <c r="G656" s="2">
        <v>0</v>
      </c>
      <c r="H656" s="2" t="s">
        <v>14</v>
      </c>
      <c r="I656" s="2" t="s">
        <v>14</v>
      </c>
      <c r="J656" s="2" t="s">
        <v>14</v>
      </c>
      <c r="K656" s="2">
        <v>0</v>
      </c>
      <c r="L656" s="4">
        <v>0.05</v>
      </c>
    </row>
    <row r="657" spans="1:12" x14ac:dyDescent="0.25">
      <c r="A657" s="5">
        <v>45628</v>
      </c>
      <c r="B657" s="1" t="s">
        <v>19</v>
      </c>
      <c r="C657" s="1" t="s">
        <v>16</v>
      </c>
      <c r="D657" s="2">
        <v>2.6100000000000002E-2</v>
      </c>
      <c r="E657" s="3">
        <v>1</v>
      </c>
      <c r="F657" s="2">
        <v>0.06</v>
      </c>
      <c r="G657" s="2">
        <v>1.4999999999999999E-2</v>
      </c>
      <c r="H657" s="2" t="s">
        <v>14</v>
      </c>
      <c r="I657" s="2" t="s">
        <v>14</v>
      </c>
      <c r="J657" s="2" t="s">
        <v>14</v>
      </c>
      <c r="K657" s="2">
        <v>0</v>
      </c>
      <c r="L657" s="4">
        <v>0.05</v>
      </c>
    </row>
    <row r="658" spans="1:12" x14ac:dyDescent="0.25">
      <c r="A658" s="5">
        <v>45628</v>
      </c>
      <c r="B658" s="1" t="s">
        <v>19</v>
      </c>
      <c r="C658" s="1" t="s">
        <v>17</v>
      </c>
      <c r="D658" s="2">
        <v>3.3099999999999997E-2</v>
      </c>
      <c r="E658" s="3">
        <v>1</v>
      </c>
      <c r="F658" s="2" t="s">
        <v>14</v>
      </c>
      <c r="G658" s="2">
        <v>0</v>
      </c>
      <c r="H658" s="2" t="s">
        <v>14</v>
      </c>
      <c r="I658" s="2">
        <v>0.09</v>
      </c>
      <c r="J658" s="2" t="s">
        <v>14</v>
      </c>
      <c r="K658" s="2">
        <v>0</v>
      </c>
      <c r="L658" s="4">
        <v>0.05</v>
      </c>
    </row>
    <row r="659" spans="1:12" x14ac:dyDescent="0.25">
      <c r="A659" s="5">
        <v>45628</v>
      </c>
      <c r="B659" s="1" t="s">
        <v>19</v>
      </c>
      <c r="C659" s="1" t="s">
        <v>18</v>
      </c>
      <c r="D659" s="2">
        <v>4.24E-2</v>
      </c>
      <c r="E659" s="3">
        <v>1</v>
      </c>
      <c r="F659" s="2" t="s">
        <v>14</v>
      </c>
      <c r="G659" s="2">
        <v>0</v>
      </c>
      <c r="H659" s="2">
        <v>0.06</v>
      </c>
      <c r="I659" s="2" t="s">
        <v>14</v>
      </c>
      <c r="J659" s="2" t="s">
        <v>14</v>
      </c>
      <c r="K659" s="2">
        <v>0</v>
      </c>
      <c r="L659" s="4">
        <v>0.05</v>
      </c>
    </row>
    <row r="660" spans="1:12" x14ac:dyDescent="0.25">
      <c r="A660" s="5">
        <v>45628</v>
      </c>
      <c r="B660" s="1" t="s">
        <v>20</v>
      </c>
      <c r="C660" s="1" t="s">
        <v>13</v>
      </c>
      <c r="D660" s="2">
        <v>5.3100000000000001E-2</v>
      </c>
      <c r="E660" s="3">
        <v>1</v>
      </c>
      <c r="F660" s="2">
        <v>9.7500000000000003E-2</v>
      </c>
      <c r="G660" s="2">
        <v>0</v>
      </c>
      <c r="H660" s="2" t="s">
        <v>14</v>
      </c>
      <c r="I660" s="2" t="s">
        <v>14</v>
      </c>
      <c r="J660" s="2" t="s">
        <v>14</v>
      </c>
      <c r="K660" s="2">
        <v>0</v>
      </c>
      <c r="L660" s="4">
        <v>0.05</v>
      </c>
    </row>
    <row r="661" spans="1:12" x14ac:dyDescent="0.25">
      <c r="A661" s="5">
        <v>45628</v>
      </c>
      <c r="B661" s="1" t="s">
        <v>20</v>
      </c>
      <c r="C661" s="1" t="s">
        <v>17</v>
      </c>
      <c r="D661" s="2">
        <v>3.7600000000000001E-2</v>
      </c>
      <c r="E661" s="3">
        <v>1</v>
      </c>
      <c r="F661" s="2" t="s">
        <v>14</v>
      </c>
      <c r="G661" s="2">
        <v>0</v>
      </c>
      <c r="H661" s="2" t="s">
        <v>14</v>
      </c>
      <c r="I661" s="2">
        <v>0.08</v>
      </c>
      <c r="J661" s="2" t="s">
        <v>14</v>
      </c>
      <c r="K661" s="2">
        <v>0</v>
      </c>
      <c r="L661" s="4">
        <v>0.05</v>
      </c>
    </row>
    <row r="662" spans="1:12" x14ac:dyDescent="0.25">
      <c r="A662" s="5">
        <v>45628</v>
      </c>
      <c r="B662" s="1" t="s">
        <v>20</v>
      </c>
      <c r="C662" s="1" t="s">
        <v>21</v>
      </c>
      <c r="D662" s="2">
        <v>6.08E-2</v>
      </c>
      <c r="E662" s="3">
        <v>1</v>
      </c>
      <c r="F662" s="2">
        <v>0.12</v>
      </c>
      <c r="G662" s="2">
        <v>0</v>
      </c>
      <c r="H662" s="2" t="s">
        <v>14</v>
      </c>
      <c r="I662" s="2" t="s">
        <v>14</v>
      </c>
      <c r="J662" s="2">
        <v>4.1500000000000002E-2</v>
      </c>
      <c r="K662" s="2">
        <v>0.6</v>
      </c>
      <c r="L662" s="4">
        <v>0.05</v>
      </c>
    </row>
    <row r="663" spans="1:12" x14ac:dyDescent="0.25">
      <c r="A663" s="5">
        <v>45628</v>
      </c>
      <c r="B663" s="1" t="s">
        <v>20</v>
      </c>
      <c r="C663" s="1" t="s">
        <v>22</v>
      </c>
      <c r="D663" s="2">
        <v>6.08E-2</v>
      </c>
      <c r="E663" s="3">
        <v>1</v>
      </c>
      <c r="F663" s="2">
        <v>0.12</v>
      </c>
      <c r="G663" s="2">
        <v>0</v>
      </c>
      <c r="H663" s="2" t="s">
        <v>14</v>
      </c>
      <c r="I663" s="2" t="s">
        <v>14</v>
      </c>
      <c r="J663" s="2">
        <v>2.1499999999999998E-2</v>
      </c>
      <c r="K663" s="2">
        <v>0.24</v>
      </c>
      <c r="L663" s="4">
        <v>0.05</v>
      </c>
    </row>
    <row r="664" spans="1:12" x14ac:dyDescent="0.25">
      <c r="A664" s="5">
        <v>45628</v>
      </c>
      <c r="B664" s="1" t="s">
        <v>23</v>
      </c>
      <c r="C664" s="1" t="s">
        <v>24</v>
      </c>
      <c r="D664" s="2">
        <v>2.3607997265530249E-2</v>
      </c>
      <c r="E664" s="3">
        <v>2.4</v>
      </c>
      <c r="F664" s="2" t="s">
        <v>14</v>
      </c>
      <c r="G664" s="2">
        <v>0</v>
      </c>
      <c r="H664" s="2" t="s">
        <v>14</v>
      </c>
      <c r="I664" s="2" t="s">
        <v>14</v>
      </c>
      <c r="J664" s="2" t="s">
        <v>14</v>
      </c>
      <c r="K664" s="2">
        <v>0</v>
      </c>
      <c r="L664" s="4">
        <v>0.05</v>
      </c>
    </row>
    <row r="665" spans="1:12" x14ac:dyDescent="0.25">
      <c r="A665" s="5">
        <v>45628</v>
      </c>
      <c r="B665" s="1" t="s">
        <v>23</v>
      </c>
      <c r="C665" s="1" t="s">
        <v>25</v>
      </c>
      <c r="D665" s="2">
        <v>5.2491754935050539E-2</v>
      </c>
      <c r="E665" s="3">
        <v>1</v>
      </c>
      <c r="F665" s="2">
        <v>0.10249999999999999</v>
      </c>
      <c r="G665" s="2">
        <v>0</v>
      </c>
      <c r="H665" s="2" t="s">
        <v>14</v>
      </c>
      <c r="I665" s="2" t="s">
        <v>14</v>
      </c>
      <c r="J665" s="2" t="s">
        <v>14</v>
      </c>
      <c r="K665" s="2">
        <v>0</v>
      </c>
      <c r="L665" s="4">
        <v>0.05</v>
      </c>
    </row>
    <row r="666" spans="1:12" x14ac:dyDescent="0.25">
      <c r="A666" s="5">
        <v>45628</v>
      </c>
      <c r="B666" s="1" t="s">
        <v>23</v>
      </c>
      <c r="C666" s="1" t="s">
        <v>13</v>
      </c>
      <c r="D666" s="2">
        <v>5.5E-2</v>
      </c>
      <c r="E666" s="3">
        <v>1</v>
      </c>
      <c r="F666" s="2">
        <v>0.10249999999999999</v>
      </c>
      <c r="G666" s="2">
        <v>0</v>
      </c>
      <c r="H666" s="2" t="s">
        <v>14</v>
      </c>
      <c r="I666" s="2" t="s">
        <v>14</v>
      </c>
      <c r="J666" s="2" t="s">
        <v>14</v>
      </c>
      <c r="K666" s="2">
        <v>0</v>
      </c>
      <c r="L666" s="4">
        <v>0.05</v>
      </c>
    </row>
    <row r="667" spans="1:12" x14ac:dyDescent="0.25">
      <c r="A667" s="5">
        <v>45628</v>
      </c>
      <c r="B667" s="1" t="s">
        <v>23</v>
      </c>
      <c r="C667" s="1" t="s">
        <v>17</v>
      </c>
      <c r="D667" s="2">
        <v>3.7600000000000001E-2</v>
      </c>
      <c r="E667" s="3">
        <v>1</v>
      </c>
      <c r="F667" s="2" t="s">
        <v>14</v>
      </c>
      <c r="G667" s="2">
        <v>0</v>
      </c>
      <c r="H667" s="2" t="s">
        <v>14</v>
      </c>
      <c r="I667" s="2">
        <v>0.08</v>
      </c>
      <c r="J667" s="2" t="s">
        <v>14</v>
      </c>
      <c r="K667" s="2">
        <v>0</v>
      </c>
      <c r="L667" s="4">
        <v>0.05</v>
      </c>
    </row>
    <row r="668" spans="1:12" x14ac:dyDescent="0.25">
      <c r="A668" s="5">
        <v>45628</v>
      </c>
      <c r="B668" s="1" t="s">
        <v>23</v>
      </c>
      <c r="C668" s="1" t="s">
        <v>21</v>
      </c>
      <c r="D668" s="2">
        <v>6.08E-2</v>
      </c>
      <c r="E668" s="3">
        <v>1</v>
      </c>
      <c r="F668" s="2">
        <v>0.12</v>
      </c>
      <c r="G668" s="2">
        <v>0</v>
      </c>
      <c r="H668" s="2" t="s">
        <v>14</v>
      </c>
      <c r="I668" s="2" t="s">
        <v>14</v>
      </c>
      <c r="J668" s="2">
        <v>4.1500000000000002E-2</v>
      </c>
      <c r="K668" s="2">
        <v>0.6</v>
      </c>
      <c r="L668" s="4">
        <v>0.05</v>
      </c>
    </row>
    <row r="669" spans="1:12" x14ac:dyDescent="0.25">
      <c r="A669" s="5">
        <v>45628</v>
      </c>
      <c r="B669" s="1" t="s">
        <v>23</v>
      </c>
      <c r="C669" s="1" t="s">
        <v>22</v>
      </c>
      <c r="D669" s="2">
        <v>6.08E-2</v>
      </c>
      <c r="E669" s="3">
        <v>1</v>
      </c>
      <c r="F669" s="2">
        <v>0.12</v>
      </c>
      <c r="G669" s="2">
        <v>0</v>
      </c>
      <c r="H669" s="2" t="s">
        <v>14</v>
      </c>
      <c r="I669" s="2" t="s">
        <v>14</v>
      </c>
      <c r="J669" s="2">
        <v>2.1499999999999998E-2</v>
      </c>
      <c r="K669" s="2">
        <v>0.24</v>
      </c>
      <c r="L669" s="4">
        <v>0.05</v>
      </c>
    </row>
    <row r="670" spans="1:12" x14ac:dyDescent="0.25">
      <c r="A670" s="5">
        <v>45628</v>
      </c>
      <c r="B670" s="1" t="s">
        <v>26</v>
      </c>
      <c r="C670" s="1" t="s">
        <v>24</v>
      </c>
      <c r="D670" s="2">
        <v>2.3607997265530249E-2</v>
      </c>
      <c r="E670" s="3">
        <v>2.4</v>
      </c>
      <c r="F670" s="2" t="s">
        <v>14</v>
      </c>
      <c r="G670" s="2">
        <v>0</v>
      </c>
      <c r="H670" s="2" t="s">
        <v>14</v>
      </c>
      <c r="I670" s="2" t="s">
        <v>14</v>
      </c>
      <c r="J670" s="2" t="s">
        <v>14</v>
      </c>
      <c r="K670" s="2">
        <v>0</v>
      </c>
      <c r="L670" s="4">
        <v>0.05</v>
      </c>
    </row>
    <row r="671" spans="1:12" x14ac:dyDescent="0.25">
      <c r="A671" s="5">
        <v>45628</v>
      </c>
      <c r="B671" s="1" t="s">
        <v>26</v>
      </c>
      <c r="C671" s="1" t="s">
        <v>25</v>
      </c>
      <c r="D671" s="2">
        <v>5.2499999999999998E-2</v>
      </c>
      <c r="E671" s="3">
        <v>1</v>
      </c>
      <c r="F671" s="2">
        <v>0.1</v>
      </c>
      <c r="G671" s="2">
        <v>0</v>
      </c>
      <c r="H671" s="2" t="s">
        <v>14</v>
      </c>
      <c r="I671" s="2" t="s">
        <v>14</v>
      </c>
      <c r="J671" s="2" t="s">
        <v>14</v>
      </c>
      <c r="K671" s="2">
        <v>0</v>
      </c>
      <c r="L671" s="4">
        <v>0.05</v>
      </c>
    </row>
    <row r="672" spans="1:12" x14ac:dyDescent="0.25">
      <c r="A672" s="5">
        <v>45628</v>
      </c>
      <c r="B672" s="1" t="s">
        <v>26</v>
      </c>
      <c r="C672" s="1" t="s">
        <v>13</v>
      </c>
      <c r="D672" s="2">
        <v>5.4100000000000002E-2</v>
      </c>
      <c r="E672" s="3">
        <v>1</v>
      </c>
      <c r="F672" s="2">
        <v>0.1</v>
      </c>
      <c r="G672" s="2">
        <v>0</v>
      </c>
      <c r="H672" s="2" t="s">
        <v>14</v>
      </c>
      <c r="I672" s="2" t="s">
        <v>14</v>
      </c>
      <c r="J672" s="2" t="s">
        <v>14</v>
      </c>
      <c r="K672" s="2">
        <v>0</v>
      </c>
      <c r="L672" s="4">
        <v>0.05</v>
      </c>
    </row>
    <row r="673" spans="1:12" x14ac:dyDescent="0.25">
      <c r="A673" s="5">
        <v>45628</v>
      </c>
      <c r="B673" s="1" t="s">
        <v>26</v>
      </c>
      <c r="C673" s="1" t="s">
        <v>17</v>
      </c>
      <c r="D673" s="2">
        <v>3.7600000000000001E-2</v>
      </c>
      <c r="E673" s="3">
        <v>1</v>
      </c>
      <c r="F673" s="2" t="s">
        <v>14</v>
      </c>
      <c r="G673" s="2">
        <v>0</v>
      </c>
      <c r="H673" s="2" t="s">
        <v>14</v>
      </c>
      <c r="I673" s="2">
        <v>0.08</v>
      </c>
      <c r="J673" s="2" t="s">
        <v>14</v>
      </c>
      <c r="K673" s="2">
        <v>0</v>
      </c>
      <c r="L673" s="4">
        <v>0.05</v>
      </c>
    </row>
    <row r="674" spans="1:12" x14ac:dyDescent="0.25">
      <c r="A674" s="5">
        <v>45628</v>
      </c>
      <c r="B674" s="1" t="s">
        <v>26</v>
      </c>
      <c r="C674" s="1" t="s">
        <v>21</v>
      </c>
      <c r="D674" s="2">
        <v>6.08E-2</v>
      </c>
      <c r="E674" s="3">
        <v>1</v>
      </c>
      <c r="F674" s="2">
        <v>0.12</v>
      </c>
      <c r="G674" s="2">
        <v>0</v>
      </c>
      <c r="H674" s="2" t="s">
        <v>14</v>
      </c>
      <c r="I674" s="2" t="s">
        <v>14</v>
      </c>
      <c r="J674" s="2">
        <v>4.1500000000000002E-2</v>
      </c>
      <c r="K674" s="2">
        <v>0.6</v>
      </c>
      <c r="L674" s="4">
        <v>0.05</v>
      </c>
    </row>
    <row r="675" spans="1:12" x14ac:dyDescent="0.25">
      <c r="A675" s="5">
        <v>45628</v>
      </c>
      <c r="B675" s="1" t="s">
        <v>26</v>
      </c>
      <c r="C675" s="1" t="s">
        <v>22</v>
      </c>
      <c r="D675" s="2">
        <v>6.08E-2</v>
      </c>
      <c r="E675" s="3">
        <v>1</v>
      </c>
      <c r="F675" s="2">
        <v>0.12</v>
      </c>
      <c r="G675" s="2">
        <v>0</v>
      </c>
      <c r="H675" s="2" t="s">
        <v>14</v>
      </c>
      <c r="I675" s="2" t="s">
        <v>14</v>
      </c>
      <c r="J675" s="2">
        <v>2.1499999999999998E-2</v>
      </c>
      <c r="K675" s="2">
        <v>0.24</v>
      </c>
      <c r="L675" s="4">
        <v>0.05</v>
      </c>
    </row>
    <row r="676" spans="1:12" x14ac:dyDescent="0.25">
      <c r="A676" s="5">
        <v>45628</v>
      </c>
      <c r="B676" s="1" t="s">
        <v>27</v>
      </c>
      <c r="C676" s="1" t="s">
        <v>13</v>
      </c>
      <c r="D676" s="2">
        <v>5.1050122959544295E-2</v>
      </c>
      <c r="E676" s="3">
        <v>1</v>
      </c>
      <c r="F676" s="2">
        <v>9.2499999999999999E-2</v>
      </c>
      <c r="G676" s="2">
        <v>0</v>
      </c>
      <c r="H676" s="2" t="s">
        <v>14</v>
      </c>
      <c r="I676" s="2" t="s">
        <v>14</v>
      </c>
      <c r="J676" s="2" t="s">
        <v>14</v>
      </c>
      <c r="K676" s="2">
        <v>0</v>
      </c>
      <c r="L676" s="4">
        <v>0.05</v>
      </c>
    </row>
    <row r="677" spans="1:12" x14ac:dyDescent="0.25">
      <c r="A677" s="5">
        <v>45628</v>
      </c>
      <c r="B677" s="1" t="s">
        <v>27</v>
      </c>
      <c r="C677" s="1" t="s">
        <v>17</v>
      </c>
      <c r="D677" s="2">
        <v>3.3054495779066696E-2</v>
      </c>
      <c r="E677" s="3">
        <v>1</v>
      </c>
      <c r="F677" s="2" t="s">
        <v>14</v>
      </c>
      <c r="G677" s="2">
        <v>0</v>
      </c>
      <c r="H677" s="2" t="s">
        <v>14</v>
      </c>
      <c r="I677" s="2">
        <v>0.09</v>
      </c>
      <c r="J677" s="2" t="s">
        <v>14</v>
      </c>
      <c r="K677" s="2">
        <v>0</v>
      </c>
      <c r="L677" s="4">
        <v>0.05</v>
      </c>
    </row>
    <row r="678" spans="1:12" x14ac:dyDescent="0.25">
      <c r="A678" s="5">
        <v>45628</v>
      </c>
      <c r="B678" s="1" t="s">
        <v>27</v>
      </c>
      <c r="C678" s="1" t="s">
        <v>24</v>
      </c>
      <c r="D678" s="2">
        <v>2.3607997265530249E-2</v>
      </c>
      <c r="E678" s="3">
        <v>2.2000000000000002</v>
      </c>
      <c r="F678" s="2" t="s">
        <v>14</v>
      </c>
      <c r="G678" s="2">
        <v>0</v>
      </c>
      <c r="H678" s="2" t="s">
        <v>14</v>
      </c>
      <c r="I678" s="2" t="s">
        <v>14</v>
      </c>
      <c r="J678" s="2" t="s">
        <v>14</v>
      </c>
      <c r="K678" s="2">
        <v>0</v>
      </c>
      <c r="L678" s="4">
        <v>0.05</v>
      </c>
    </row>
    <row r="679" spans="1:12" x14ac:dyDescent="0.25">
      <c r="A679" s="5">
        <v>45628</v>
      </c>
      <c r="B679" s="1" t="s">
        <v>27</v>
      </c>
      <c r="C679" s="1" t="s">
        <v>25</v>
      </c>
      <c r="D679" s="2">
        <v>4.8323682562213754E-2</v>
      </c>
      <c r="E679" s="3">
        <v>1</v>
      </c>
      <c r="F679" s="2">
        <v>9.2499999999999999E-2</v>
      </c>
      <c r="G679" s="2">
        <v>0</v>
      </c>
      <c r="H679" s="2" t="s">
        <v>14</v>
      </c>
      <c r="I679" s="2" t="s">
        <v>14</v>
      </c>
      <c r="J679" s="2" t="s">
        <v>14</v>
      </c>
      <c r="K679" s="2">
        <v>0</v>
      </c>
      <c r="L679" s="4">
        <v>0.05</v>
      </c>
    </row>
    <row r="680" spans="1:12" x14ac:dyDescent="0.25">
      <c r="A680" s="5">
        <v>45628</v>
      </c>
      <c r="B680" s="1" t="s">
        <v>30</v>
      </c>
      <c r="C680" s="1" t="s">
        <v>13</v>
      </c>
      <c r="D680" s="2">
        <v>5.208630924339723E-2</v>
      </c>
      <c r="E680" s="3">
        <v>1</v>
      </c>
      <c r="F680" s="2">
        <v>9.5000000000000001E-2</v>
      </c>
      <c r="G680" s="2">
        <v>0</v>
      </c>
      <c r="H680" s="2" t="s">
        <v>14</v>
      </c>
      <c r="I680" s="2" t="s">
        <v>14</v>
      </c>
      <c r="J680" s="2" t="s">
        <v>14</v>
      </c>
      <c r="K680" s="2">
        <v>0</v>
      </c>
      <c r="L680" s="4">
        <v>0.05</v>
      </c>
    </row>
    <row r="681" spans="1:12" x14ac:dyDescent="0.25">
      <c r="A681" s="5">
        <v>45628</v>
      </c>
      <c r="B681" s="1" t="s">
        <v>30</v>
      </c>
      <c r="C681" s="1" t="s">
        <v>17</v>
      </c>
      <c r="D681" s="2">
        <v>3.3054495779066696E-2</v>
      </c>
      <c r="E681" s="3">
        <v>1</v>
      </c>
      <c r="F681" s="2" t="s">
        <v>14</v>
      </c>
      <c r="G681" s="2">
        <v>0</v>
      </c>
      <c r="H681" s="2" t="s">
        <v>14</v>
      </c>
      <c r="I681" s="2">
        <v>0.09</v>
      </c>
      <c r="J681" s="2" t="s">
        <v>14</v>
      </c>
      <c r="K681" s="2">
        <v>0</v>
      </c>
      <c r="L681" s="4">
        <v>0.05</v>
      </c>
    </row>
    <row r="682" spans="1:12" x14ac:dyDescent="0.25">
      <c r="A682" s="5">
        <v>45628</v>
      </c>
      <c r="B682" s="1" t="s">
        <v>30</v>
      </c>
      <c r="C682" s="1" t="s">
        <v>24</v>
      </c>
      <c r="D682" s="2">
        <v>2.3607997265530249E-2</v>
      </c>
      <c r="E682" s="3">
        <v>2.2000000000000002</v>
      </c>
      <c r="F682" s="2" t="s">
        <v>14</v>
      </c>
      <c r="G682" s="2">
        <v>0</v>
      </c>
      <c r="H682" s="2" t="s">
        <v>14</v>
      </c>
      <c r="I682" s="2" t="s">
        <v>14</v>
      </c>
      <c r="J682" s="2" t="s">
        <v>14</v>
      </c>
      <c r="K682" s="2">
        <v>0</v>
      </c>
      <c r="L682" s="4">
        <v>0.05</v>
      </c>
    </row>
    <row r="683" spans="1:12" x14ac:dyDescent="0.25">
      <c r="A683" s="5">
        <v>45628</v>
      </c>
      <c r="B683" s="1" t="s">
        <v>30</v>
      </c>
      <c r="C683" s="1" t="s">
        <v>25</v>
      </c>
      <c r="D683" s="2">
        <v>4.9392436639490257E-2</v>
      </c>
      <c r="E683" s="3">
        <v>1</v>
      </c>
      <c r="F683" s="2">
        <v>9.5000000000000001E-2</v>
      </c>
      <c r="G683" s="2">
        <v>0</v>
      </c>
      <c r="H683" s="2" t="s">
        <v>14</v>
      </c>
      <c r="I683" s="2" t="s">
        <v>14</v>
      </c>
      <c r="J683" s="2" t="s">
        <v>14</v>
      </c>
      <c r="K683" s="2">
        <v>0</v>
      </c>
      <c r="L683" s="4">
        <v>0.05</v>
      </c>
    </row>
    <row r="684" spans="1:12" x14ac:dyDescent="0.25">
      <c r="A684" s="5">
        <v>45628</v>
      </c>
      <c r="B684" s="1" t="s">
        <v>28</v>
      </c>
      <c r="C684" s="1" t="s">
        <v>13</v>
      </c>
      <c r="D684" s="2">
        <v>4.7800000000000002E-2</v>
      </c>
      <c r="E684" s="3">
        <v>1</v>
      </c>
      <c r="F684" s="2">
        <v>8.5000000000000006E-2</v>
      </c>
      <c r="G684" s="2">
        <v>0</v>
      </c>
      <c r="H684" s="2" t="s">
        <v>14</v>
      </c>
      <c r="I684" s="2" t="s">
        <v>14</v>
      </c>
      <c r="J684" s="2" t="s">
        <v>14</v>
      </c>
      <c r="K684" s="2">
        <v>0</v>
      </c>
      <c r="L684" s="4">
        <v>0.05</v>
      </c>
    </row>
    <row r="685" spans="1:12" x14ac:dyDescent="0.25">
      <c r="A685" s="5">
        <v>45628</v>
      </c>
      <c r="B685" s="1" t="s">
        <v>28</v>
      </c>
      <c r="C685" s="1" t="s">
        <v>16</v>
      </c>
      <c r="D685" s="2">
        <v>3.1099999999999999E-2</v>
      </c>
      <c r="E685" s="3">
        <v>1</v>
      </c>
      <c r="F685" s="2">
        <v>7.0000000000000007E-2</v>
      </c>
      <c r="G685" s="2">
        <v>1.4999999999999999E-2</v>
      </c>
      <c r="H685" s="2" t="s">
        <v>14</v>
      </c>
      <c r="I685" s="2" t="s">
        <v>14</v>
      </c>
      <c r="J685" s="2" t="s">
        <v>14</v>
      </c>
      <c r="K685" s="2">
        <v>0</v>
      </c>
      <c r="L685" s="4">
        <v>0.05</v>
      </c>
    </row>
    <row r="686" spans="1:12" x14ac:dyDescent="0.25">
      <c r="A686" s="5">
        <v>45628</v>
      </c>
      <c r="B686" s="1" t="s">
        <v>28</v>
      </c>
      <c r="C686" s="1" t="s">
        <v>17</v>
      </c>
      <c r="D686" s="2">
        <v>3.8800000000000001E-2</v>
      </c>
      <c r="E686" s="3">
        <v>1</v>
      </c>
      <c r="F686" s="2" t="s">
        <v>14</v>
      </c>
      <c r="G686" s="2">
        <v>0</v>
      </c>
      <c r="H686" s="2" t="s">
        <v>14</v>
      </c>
      <c r="I686" s="2">
        <v>7.7499999999999999E-2</v>
      </c>
      <c r="J686" s="2" t="s">
        <v>14</v>
      </c>
      <c r="K686" s="2">
        <v>0</v>
      </c>
      <c r="L686" s="4">
        <v>0.05</v>
      </c>
    </row>
    <row r="687" spans="1:12" x14ac:dyDescent="0.25">
      <c r="A687" s="5">
        <v>45628</v>
      </c>
      <c r="B687" s="1" t="s">
        <v>28</v>
      </c>
      <c r="C687" s="1" t="s">
        <v>18</v>
      </c>
      <c r="D687" s="2">
        <v>4.5999999999999999E-2</v>
      </c>
      <c r="E687" s="3">
        <v>1</v>
      </c>
      <c r="F687" s="2" t="s">
        <v>14</v>
      </c>
      <c r="G687" s="2">
        <v>0</v>
      </c>
      <c r="H687" s="2">
        <v>6.8500000000000005E-2</v>
      </c>
      <c r="I687" s="2" t="s">
        <v>14</v>
      </c>
      <c r="J687" s="2" t="s">
        <v>14</v>
      </c>
      <c r="K687" s="2">
        <v>0</v>
      </c>
      <c r="L687" s="4">
        <v>0.05</v>
      </c>
    </row>
    <row r="688" spans="1:12" x14ac:dyDescent="0.25">
      <c r="A688" s="5">
        <v>45628</v>
      </c>
      <c r="B688" s="1" t="s">
        <v>29</v>
      </c>
      <c r="C688" s="1" t="s">
        <v>13</v>
      </c>
      <c r="D688" s="2">
        <v>4.4400000000000002E-2</v>
      </c>
      <c r="E688" s="3">
        <v>1</v>
      </c>
      <c r="F688" s="2">
        <v>7.7499999999999999E-2</v>
      </c>
      <c r="G688" s="2">
        <v>0</v>
      </c>
      <c r="H688" s="2" t="s">
        <v>14</v>
      </c>
      <c r="I688" s="2" t="s">
        <v>14</v>
      </c>
      <c r="J688" s="2" t="s">
        <v>14</v>
      </c>
      <c r="K688" s="2">
        <v>0</v>
      </c>
      <c r="L688" s="4">
        <v>0.05</v>
      </c>
    </row>
    <row r="689" spans="1:12" x14ac:dyDescent="0.25">
      <c r="A689" s="5">
        <v>45628</v>
      </c>
      <c r="B689" s="1" t="s">
        <v>29</v>
      </c>
      <c r="C689" s="1" t="s">
        <v>16</v>
      </c>
      <c r="D689" s="2">
        <v>2.4799999999999999E-2</v>
      </c>
      <c r="E689" s="3">
        <v>1</v>
      </c>
      <c r="F689" s="2">
        <v>5.7500000000000002E-2</v>
      </c>
      <c r="G689" s="2">
        <v>1.4999999999999999E-2</v>
      </c>
      <c r="H689" s="2" t="s">
        <v>14</v>
      </c>
      <c r="I689" s="2" t="s">
        <v>14</v>
      </c>
      <c r="J689" s="2" t="s">
        <v>14</v>
      </c>
      <c r="K689" s="2">
        <v>0</v>
      </c>
      <c r="L689" s="4">
        <v>0.05</v>
      </c>
    </row>
    <row r="690" spans="1:12" x14ac:dyDescent="0.25">
      <c r="A690" s="5">
        <v>45628</v>
      </c>
      <c r="B690" s="1" t="s">
        <v>29</v>
      </c>
      <c r="C690" s="1" t="s">
        <v>17</v>
      </c>
      <c r="D690" s="2">
        <v>3.44E-2</v>
      </c>
      <c r="E690" s="3">
        <v>1</v>
      </c>
      <c r="F690" s="2" t="s">
        <v>14</v>
      </c>
      <c r="G690" s="2">
        <v>0</v>
      </c>
      <c r="H690" s="2" t="s">
        <v>14</v>
      </c>
      <c r="I690" s="2">
        <v>8.6999999999999994E-2</v>
      </c>
      <c r="J690" s="2" t="s">
        <v>14</v>
      </c>
      <c r="K690" s="2">
        <v>0</v>
      </c>
      <c r="L690" s="4">
        <v>0.05</v>
      </c>
    </row>
    <row r="691" spans="1:12" x14ac:dyDescent="0.25">
      <c r="A691" s="5">
        <v>45628</v>
      </c>
      <c r="B691" s="1" t="s">
        <v>29</v>
      </c>
      <c r="C691" s="1" t="s">
        <v>18</v>
      </c>
      <c r="D691" s="2">
        <v>4.0300000000000002E-2</v>
      </c>
      <c r="E691" s="3">
        <v>1</v>
      </c>
      <c r="F691" s="2" t="s">
        <v>14</v>
      </c>
      <c r="G691" s="2">
        <v>0</v>
      </c>
      <c r="H691" s="2">
        <v>0.06</v>
      </c>
      <c r="I691" s="2" t="s">
        <v>14</v>
      </c>
      <c r="J691" s="2" t="s">
        <v>14</v>
      </c>
      <c r="K691" s="2">
        <v>0</v>
      </c>
      <c r="L691" s="4">
        <v>0.05</v>
      </c>
    </row>
    <row r="692" spans="1:12" x14ac:dyDescent="0.25">
      <c r="A692" s="5">
        <v>45658</v>
      </c>
      <c r="B692" s="1" t="s">
        <v>12</v>
      </c>
      <c r="C692" s="1" t="s">
        <v>13</v>
      </c>
      <c r="D692" s="2"/>
      <c r="E692" s="3">
        <v>1</v>
      </c>
      <c r="F692" s="2">
        <v>9.7500000000000003E-2</v>
      </c>
      <c r="G692" s="2">
        <v>0</v>
      </c>
      <c r="H692" s="2" t="s">
        <v>14</v>
      </c>
      <c r="I692" s="2" t="s">
        <v>14</v>
      </c>
      <c r="J692" s="2" t="s">
        <v>14</v>
      </c>
      <c r="K692" s="2">
        <v>0</v>
      </c>
      <c r="L692" s="4">
        <v>0.05</v>
      </c>
    </row>
    <row r="693" spans="1:12" x14ac:dyDescent="0.25">
      <c r="A693" s="5">
        <v>45658</v>
      </c>
      <c r="B693" s="1" t="s">
        <v>15</v>
      </c>
      <c r="C693" s="1" t="s">
        <v>13</v>
      </c>
      <c r="D693" s="2"/>
      <c r="E693" s="3">
        <v>1</v>
      </c>
      <c r="F693" s="2">
        <v>9.7500000000000003E-2</v>
      </c>
      <c r="G693" s="2">
        <v>0</v>
      </c>
      <c r="H693" s="2" t="s">
        <v>14</v>
      </c>
      <c r="I693" s="2" t="s">
        <v>14</v>
      </c>
      <c r="J693" s="2" t="s">
        <v>14</v>
      </c>
      <c r="K693" s="2">
        <v>0</v>
      </c>
      <c r="L693" s="4">
        <v>0.05</v>
      </c>
    </row>
    <row r="694" spans="1:12" x14ac:dyDescent="0.25">
      <c r="A694" s="5">
        <v>45658</v>
      </c>
      <c r="B694" s="1" t="s">
        <v>15</v>
      </c>
      <c r="C694" s="1" t="s">
        <v>16</v>
      </c>
      <c r="D694" s="2"/>
      <c r="E694" s="3">
        <v>1</v>
      </c>
      <c r="F694" s="2">
        <v>8.5000000000000006E-2</v>
      </c>
      <c r="G694" s="2">
        <v>1.4999999999999999E-2</v>
      </c>
      <c r="H694" s="2" t="s">
        <v>14</v>
      </c>
      <c r="I694" s="2" t="s">
        <v>14</v>
      </c>
      <c r="J694" s="2" t="s">
        <v>14</v>
      </c>
      <c r="K694" s="2">
        <v>0</v>
      </c>
      <c r="L694" s="4">
        <v>0.05</v>
      </c>
    </row>
    <row r="695" spans="1:12" x14ac:dyDescent="0.25">
      <c r="A695" s="5">
        <v>45658</v>
      </c>
      <c r="B695" s="1" t="s">
        <v>15</v>
      </c>
      <c r="C695" s="1" t="s">
        <v>17</v>
      </c>
      <c r="D695" s="2"/>
      <c r="E695" s="3">
        <v>1</v>
      </c>
      <c r="F695" s="2" t="s">
        <v>14</v>
      </c>
      <c r="G695" s="2">
        <v>0</v>
      </c>
      <c r="H695" s="2" t="s">
        <v>14</v>
      </c>
      <c r="I695" s="2">
        <v>0.08</v>
      </c>
      <c r="J695" s="2" t="s">
        <v>14</v>
      </c>
      <c r="K695" s="2">
        <v>0</v>
      </c>
      <c r="L695" s="4">
        <v>0.05</v>
      </c>
    </row>
    <row r="696" spans="1:12" x14ac:dyDescent="0.25">
      <c r="A696" s="5">
        <v>45658</v>
      </c>
      <c r="B696" s="1" t="s">
        <v>15</v>
      </c>
      <c r="C696" s="1" t="s">
        <v>18</v>
      </c>
      <c r="D696" s="2"/>
      <c r="E696" s="3">
        <v>1</v>
      </c>
      <c r="F696" s="2" t="s">
        <v>14</v>
      </c>
      <c r="G696" s="2">
        <v>0</v>
      </c>
      <c r="H696" s="2">
        <v>7.4999999999999997E-2</v>
      </c>
      <c r="I696" s="2" t="s">
        <v>14</v>
      </c>
      <c r="J696" s="2" t="s">
        <v>14</v>
      </c>
      <c r="K696" s="2">
        <v>0</v>
      </c>
      <c r="L696" s="4">
        <v>0.05</v>
      </c>
    </row>
    <row r="697" spans="1:12" x14ac:dyDescent="0.25">
      <c r="A697" s="5">
        <v>45658</v>
      </c>
      <c r="B697" s="1" t="s">
        <v>19</v>
      </c>
      <c r="C697" s="1" t="s">
        <v>13</v>
      </c>
      <c r="D697" s="2"/>
      <c r="E697" s="3">
        <v>1</v>
      </c>
      <c r="F697" s="2">
        <v>7.2499999999999995E-2</v>
      </c>
      <c r="G697" s="2">
        <v>0</v>
      </c>
      <c r="H697" s="2" t="s">
        <v>14</v>
      </c>
      <c r="I697" s="2" t="s">
        <v>14</v>
      </c>
      <c r="J697" s="2" t="s">
        <v>14</v>
      </c>
      <c r="K697" s="2">
        <v>0</v>
      </c>
      <c r="L697" s="4">
        <v>0.05</v>
      </c>
    </row>
    <row r="698" spans="1:12" x14ac:dyDescent="0.25">
      <c r="A698" s="5">
        <v>45658</v>
      </c>
      <c r="B698" s="1" t="s">
        <v>19</v>
      </c>
      <c r="C698" s="1" t="s">
        <v>16</v>
      </c>
      <c r="D698" s="2"/>
      <c r="E698" s="3">
        <v>1</v>
      </c>
      <c r="F698" s="2">
        <v>0.06</v>
      </c>
      <c r="G698" s="2">
        <v>1.4999999999999999E-2</v>
      </c>
      <c r="H698" s="2" t="s">
        <v>14</v>
      </c>
      <c r="I698" s="2" t="s">
        <v>14</v>
      </c>
      <c r="J698" s="2" t="s">
        <v>14</v>
      </c>
      <c r="K698" s="2">
        <v>0</v>
      </c>
      <c r="L698" s="4">
        <v>0.05</v>
      </c>
    </row>
    <row r="699" spans="1:12" x14ac:dyDescent="0.25">
      <c r="A699" s="5">
        <v>45658</v>
      </c>
      <c r="B699" s="1" t="s">
        <v>19</v>
      </c>
      <c r="C699" s="1" t="s">
        <v>17</v>
      </c>
      <c r="D699" s="2"/>
      <c r="E699" s="3">
        <v>1</v>
      </c>
      <c r="F699" s="2" t="s">
        <v>14</v>
      </c>
      <c r="G699" s="2">
        <v>0</v>
      </c>
      <c r="H699" s="2" t="s">
        <v>14</v>
      </c>
      <c r="I699" s="2">
        <v>0.09</v>
      </c>
      <c r="J699" s="2" t="s">
        <v>14</v>
      </c>
      <c r="K699" s="2">
        <v>0</v>
      </c>
      <c r="L699" s="4">
        <v>0.05</v>
      </c>
    </row>
    <row r="700" spans="1:12" x14ac:dyDescent="0.25">
      <c r="A700" s="5">
        <v>45658</v>
      </c>
      <c r="B700" s="1" t="s">
        <v>19</v>
      </c>
      <c r="C700" s="1" t="s">
        <v>18</v>
      </c>
      <c r="D700" s="2"/>
      <c r="E700" s="3">
        <v>1</v>
      </c>
      <c r="F700" s="2" t="s">
        <v>14</v>
      </c>
      <c r="G700" s="2">
        <v>0</v>
      </c>
      <c r="H700" s="2">
        <v>0.06</v>
      </c>
      <c r="I700" s="2" t="s">
        <v>14</v>
      </c>
      <c r="J700" s="2" t="s">
        <v>14</v>
      </c>
      <c r="K700" s="2">
        <v>0</v>
      </c>
      <c r="L700" s="4">
        <v>0.05</v>
      </c>
    </row>
    <row r="701" spans="1:12" x14ac:dyDescent="0.25">
      <c r="A701" s="5">
        <v>45658</v>
      </c>
      <c r="B701" s="1" t="s">
        <v>20</v>
      </c>
      <c r="C701" s="1" t="s">
        <v>13</v>
      </c>
      <c r="D701" s="2"/>
      <c r="E701" s="3">
        <v>1</v>
      </c>
      <c r="F701" s="2">
        <v>9.7500000000000003E-2</v>
      </c>
      <c r="G701" s="2">
        <v>0</v>
      </c>
      <c r="H701" s="2" t="s">
        <v>14</v>
      </c>
      <c r="I701" s="2" t="s">
        <v>14</v>
      </c>
      <c r="J701" s="2" t="s">
        <v>14</v>
      </c>
      <c r="K701" s="2">
        <v>0</v>
      </c>
      <c r="L701" s="4">
        <v>0.05</v>
      </c>
    </row>
    <row r="702" spans="1:12" x14ac:dyDescent="0.25">
      <c r="A702" s="5">
        <v>45658</v>
      </c>
      <c r="B702" s="1" t="s">
        <v>20</v>
      </c>
      <c r="C702" s="1" t="s">
        <v>17</v>
      </c>
      <c r="D702" s="2"/>
      <c r="E702" s="3">
        <v>1</v>
      </c>
      <c r="F702" s="2" t="s">
        <v>14</v>
      </c>
      <c r="G702" s="2">
        <v>0</v>
      </c>
      <c r="H702" s="2" t="s">
        <v>14</v>
      </c>
      <c r="I702" s="2">
        <v>0.08</v>
      </c>
      <c r="J702" s="2" t="s">
        <v>14</v>
      </c>
      <c r="K702" s="2">
        <v>0</v>
      </c>
      <c r="L702" s="4">
        <v>0.05</v>
      </c>
    </row>
    <row r="703" spans="1:12" x14ac:dyDescent="0.25">
      <c r="A703" s="5">
        <v>45658</v>
      </c>
      <c r="B703" s="1" t="s">
        <v>20</v>
      </c>
      <c r="C703" s="1" t="s">
        <v>21</v>
      </c>
      <c r="D703" s="2"/>
      <c r="E703" s="3">
        <v>1</v>
      </c>
      <c r="F703" s="2">
        <v>0.12</v>
      </c>
      <c r="G703" s="2">
        <v>0</v>
      </c>
      <c r="H703" s="2" t="s">
        <v>14</v>
      </c>
      <c r="I703" s="2" t="s">
        <v>14</v>
      </c>
      <c r="J703" s="2">
        <v>4.1500000000000002E-2</v>
      </c>
      <c r="K703" s="2">
        <v>0.6</v>
      </c>
      <c r="L703" s="4">
        <v>0.05</v>
      </c>
    </row>
    <row r="704" spans="1:12" x14ac:dyDescent="0.25">
      <c r="A704" s="5">
        <v>45658</v>
      </c>
      <c r="B704" s="1" t="s">
        <v>20</v>
      </c>
      <c r="C704" s="1" t="s">
        <v>22</v>
      </c>
      <c r="D704" s="2"/>
      <c r="E704" s="3">
        <v>1</v>
      </c>
      <c r="F704" s="2">
        <v>0.12</v>
      </c>
      <c r="G704" s="2">
        <v>0</v>
      </c>
      <c r="H704" s="2" t="s">
        <v>14</v>
      </c>
      <c r="I704" s="2" t="s">
        <v>14</v>
      </c>
      <c r="J704" s="2">
        <v>2.1499999999999998E-2</v>
      </c>
      <c r="K704" s="2">
        <v>0.24</v>
      </c>
      <c r="L704" s="4">
        <v>0.05</v>
      </c>
    </row>
    <row r="705" spans="1:12" x14ac:dyDescent="0.25">
      <c r="A705" s="5">
        <v>45658</v>
      </c>
      <c r="B705" s="1" t="s">
        <v>23</v>
      </c>
      <c r="C705" s="1" t="s">
        <v>24</v>
      </c>
      <c r="D705" s="2"/>
      <c r="E705" s="3">
        <v>2.4</v>
      </c>
      <c r="F705" s="2" t="s">
        <v>14</v>
      </c>
      <c r="G705" s="2">
        <v>0</v>
      </c>
      <c r="H705" s="2" t="s">
        <v>14</v>
      </c>
      <c r="I705" s="2" t="s">
        <v>14</v>
      </c>
      <c r="J705" s="2" t="s">
        <v>14</v>
      </c>
      <c r="K705" s="2">
        <v>0</v>
      </c>
      <c r="L705" s="4">
        <v>0.05</v>
      </c>
    </row>
    <row r="706" spans="1:12" x14ac:dyDescent="0.25">
      <c r="A706" s="5">
        <v>45658</v>
      </c>
      <c r="B706" s="1" t="s">
        <v>23</v>
      </c>
      <c r="C706" s="1" t="s">
        <v>25</v>
      </c>
      <c r="D706" s="2"/>
      <c r="E706" s="3">
        <v>1</v>
      </c>
      <c r="F706" s="2">
        <v>0.10249999999999999</v>
      </c>
      <c r="G706" s="2">
        <v>0</v>
      </c>
      <c r="H706" s="2" t="s">
        <v>14</v>
      </c>
      <c r="I706" s="2" t="s">
        <v>14</v>
      </c>
      <c r="J706" s="2" t="s">
        <v>14</v>
      </c>
      <c r="K706" s="2">
        <v>0</v>
      </c>
      <c r="L706" s="4">
        <v>0.05</v>
      </c>
    </row>
    <row r="707" spans="1:12" x14ac:dyDescent="0.25">
      <c r="A707" s="5">
        <v>45658</v>
      </c>
      <c r="B707" s="1" t="s">
        <v>23</v>
      </c>
      <c r="C707" s="1" t="s">
        <v>13</v>
      </c>
      <c r="D707" s="2"/>
      <c r="E707" s="3">
        <v>1</v>
      </c>
      <c r="F707" s="2">
        <v>0.10249999999999999</v>
      </c>
      <c r="G707" s="2">
        <v>0</v>
      </c>
      <c r="H707" s="2" t="s">
        <v>14</v>
      </c>
      <c r="I707" s="2" t="s">
        <v>14</v>
      </c>
      <c r="J707" s="2" t="s">
        <v>14</v>
      </c>
      <c r="K707" s="2">
        <v>0</v>
      </c>
      <c r="L707" s="4">
        <v>0.05</v>
      </c>
    </row>
    <row r="708" spans="1:12" x14ac:dyDescent="0.25">
      <c r="A708" s="5">
        <v>45658</v>
      </c>
      <c r="B708" s="1" t="s">
        <v>23</v>
      </c>
      <c r="C708" s="1" t="s">
        <v>17</v>
      </c>
      <c r="D708" s="2"/>
      <c r="E708" s="3">
        <v>1</v>
      </c>
      <c r="F708" s="2" t="s">
        <v>14</v>
      </c>
      <c r="G708" s="2">
        <v>0</v>
      </c>
      <c r="H708" s="2" t="s">
        <v>14</v>
      </c>
      <c r="I708" s="2">
        <v>0.08</v>
      </c>
      <c r="J708" s="2" t="s">
        <v>14</v>
      </c>
      <c r="K708" s="2">
        <v>0</v>
      </c>
      <c r="L708" s="4">
        <v>0.05</v>
      </c>
    </row>
    <row r="709" spans="1:12" x14ac:dyDescent="0.25">
      <c r="A709" s="5">
        <v>45658</v>
      </c>
      <c r="B709" s="1" t="s">
        <v>23</v>
      </c>
      <c r="C709" s="1" t="s">
        <v>21</v>
      </c>
      <c r="D709" s="2"/>
      <c r="E709" s="3">
        <v>1</v>
      </c>
      <c r="F709" s="2">
        <v>0.12</v>
      </c>
      <c r="G709" s="2">
        <v>0</v>
      </c>
      <c r="H709" s="2" t="s">
        <v>14</v>
      </c>
      <c r="I709" s="2" t="s">
        <v>14</v>
      </c>
      <c r="J709" s="2">
        <v>4.1500000000000002E-2</v>
      </c>
      <c r="K709" s="2">
        <v>0.6</v>
      </c>
      <c r="L709" s="4">
        <v>0.05</v>
      </c>
    </row>
    <row r="710" spans="1:12" x14ac:dyDescent="0.25">
      <c r="A710" s="5">
        <v>45658</v>
      </c>
      <c r="B710" s="1" t="s">
        <v>23</v>
      </c>
      <c r="C710" s="1" t="s">
        <v>22</v>
      </c>
      <c r="D710" s="2"/>
      <c r="E710" s="3">
        <v>1</v>
      </c>
      <c r="F710" s="2">
        <v>0.12</v>
      </c>
      <c r="G710" s="2">
        <v>0</v>
      </c>
      <c r="H710" s="2" t="s">
        <v>14</v>
      </c>
      <c r="I710" s="2" t="s">
        <v>14</v>
      </c>
      <c r="J710" s="2">
        <v>2.1499999999999998E-2</v>
      </c>
      <c r="K710" s="2">
        <v>0.24</v>
      </c>
      <c r="L710" s="4">
        <v>0.05</v>
      </c>
    </row>
    <row r="711" spans="1:12" x14ac:dyDescent="0.25">
      <c r="A711" s="5">
        <v>45658</v>
      </c>
      <c r="B711" s="1" t="s">
        <v>26</v>
      </c>
      <c r="C711" s="1" t="s">
        <v>24</v>
      </c>
      <c r="D711" s="2"/>
      <c r="E711" s="3">
        <v>2.4</v>
      </c>
      <c r="F711" s="2" t="s">
        <v>14</v>
      </c>
      <c r="G711" s="2">
        <v>0</v>
      </c>
      <c r="H711" s="2" t="s">
        <v>14</v>
      </c>
      <c r="I711" s="2" t="s">
        <v>14</v>
      </c>
      <c r="J711" s="2" t="s">
        <v>14</v>
      </c>
      <c r="K711" s="2">
        <v>0</v>
      </c>
      <c r="L711" s="4">
        <v>0.05</v>
      </c>
    </row>
    <row r="712" spans="1:12" x14ac:dyDescent="0.25">
      <c r="A712" s="5">
        <v>45658</v>
      </c>
      <c r="B712" s="1" t="s">
        <v>26</v>
      </c>
      <c r="C712" s="1" t="s">
        <v>25</v>
      </c>
      <c r="D712" s="2"/>
      <c r="E712" s="3">
        <v>1</v>
      </c>
      <c r="F712" s="2">
        <v>0.1</v>
      </c>
      <c r="G712" s="2">
        <v>0</v>
      </c>
      <c r="H712" s="2" t="s">
        <v>14</v>
      </c>
      <c r="I712" s="2" t="s">
        <v>14</v>
      </c>
      <c r="J712" s="2" t="s">
        <v>14</v>
      </c>
      <c r="K712" s="2">
        <v>0</v>
      </c>
      <c r="L712" s="4">
        <v>0.05</v>
      </c>
    </row>
    <row r="713" spans="1:12" x14ac:dyDescent="0.25">
      <c r="A713" s="5">
        <v>45658</v>
      </c>
      <c r="B713" s="1" t="s">
        <v>26</v>
      </c>
      <c r="C713" s="1" t="s">
        <v>13</v>
      </c>
      <c r="D713" s="2"/>
      <c r="E713" s="3">
        <v>1</v>
      </c>
      <c r="F713" s="2">
        <v>0.1</v>
      </c>
      <c r="G713" s="2">
        <v>0</v>
      </c>
      <c r="H713" s="2" t="s">
        <v>14</v>
      </c>
      <c r="I713" s="2" t="s">
        <v>14</v>
      </c>
      <c r="J713" s="2" t="s">
        <v>14</v>
      </c>
      <c r="K713" s="2">
        <v>0</v>
      </c>
      <c r="L713" s="4">
        <v>0.05</v>
      </c>
    </row>
    <row r="714" spans="1:12" x14ac:dyDescent="0.25">
      <c r="A714" s="5">
        <v>45658</v>
      </c>
      <c r="B714" s="1" t="s">
        <v>26</v>
      </c>
      <c r="C714" s="1" t="s">
        <v>17</v>
      </c>
      <c r="D714" s="2"/>
      <c r="E714" s="3">
        <v>1</v>
      </c>
      <c r="F714" s="2" t="s">
        <v>14</v>
      </c>
      <c r="G714" s="2">
        <v>0</v>
      </c>
      <c r="H714" s="2" t="s">
        <v>14</v>
      </c>
      <c r="I714" s="2">
        <v>0.08</v>
      </c>
      <c r="J714" s="2" t="s">
        <v>14</v>
      </c>
      <c r="K714" s="2">
        <v>0</v>
      </c>
      <c r="L714" s="4">
        <v>0.05</v>
      </c>
    </row>
    <row r="715" spans="1:12" x14ac:dyDescent="0.25">
      <c r="A715" s="5">
        <v>45658</v>
      </c>
      <c r="B715" s="1" t="s">
        <v>26</v>
      </c>
      <c r="C715" s="1" t="s">
        <v>21</v>
      </c>
      <c r="D715" s="2"/>
      <c r="E715" s="3">
        <v>1</v>
      </c>
      <c r="F715" s="2">
        <v>0.12</v>
      </c>
      <c r="G715" s="2">
        <v>0</v>
      </c>
      <c r="H715" s="2" t="s">
        <v>14</v>
      </c>
      <c r="I715" s="2" t="s">
        <v>14</v>
      </c>
      <c r="J715" s="2">
        <v>4.1500000000000002E-2</v>
      </c>
      <c r="K715" s="2">
        <v>0.6</v>
      </c>
      <c r="L715" s="4">
        <v>0.05</v>
      </c>
    </row>
    <row r="716" spans="1:12" x14ac:dyDescent="0.25">
      <c r="A716" s="5">
        <v>45658</v>
      </c>
      <c r="B716" s="1" t="s">
        <v>26</v>
      </c>
      <c r="C716" s="1" t="s">
        <v>22</v>
      </c>
      <c r="D716" s="2"/>
      <c r="E716" s="3">
        <v>1</v>
      </c>
      <c r="F716" s="2">
        <v>0.12</v>
      </c>
      <c r="G716" s="2">
        <v>0</v>
      </c>
      <c r="H716" s="2" t="s">
        <v>14</v>
      </c>
      <c r="I716" s="2" t="s">
        <v>14</v>
      </c>
      <c r="J716" s="2">
        <v>2.1499999999999998E-2</v>
      </c>
      <c r="K716" s="2">
        <v>0.24</v>
      </c>
      <c r="L716" s="4">
        <v>0.05</v>
      </c>
    </row>
    <row r="717" spans="1:12" x14ac:dyDescent="0.25">
      <c r="A717" s="5">
        <v>45658</v>
      </c>
      <c r="B717" s="1" t="s">
        <v>27</v>
      </c>
      <c r="C717" s="1" t="s">
        <v>13</v>
      </c>
      <c r="D717" s="2"/>
      <c r="E717" s="3">
        <v>1</v>
      </c>
      <c r="F717" s="2">
        <v>9.2499999999999999E-2</v>
      </c>
      <c r="G717" s="2">
        <v>0</v>
      </c>
      <c r="H717" s="2" t="s">
        <v>14</v>
      </c>
      <c r="I717" s="2" t="s">
        <v>14</v>
      </c>
      <c r="J717" s="2" t="s">
        <v>14</v>
      </c>
      <c r="K717" s="2">
        <v>0</v>
      </c>
      <c r="L717" s="4">
        <v>0.05</v>
      </c>
    </row>
    <row r="718" spans="1:12" x14ac:dyDescent="0.25">
      <c r="A718" s="5">
        <v>45658</v>
      </c>
      <c r="B718" s="1" t="s">
        <v>27</v>
      </c>
      <c r="C718" s="1" t="s">
        <v>17</v>
      </c>
      <c r="D718" s="2"/>
      <c r="E718" s="3">
        <v>1</v>
      </c>
      <c r="F718" s="2" t="s">
        <v>14</v>
      </c>
      <c r="G718" s="2">
        <v>0</v>
      </c>
      <c r="H718" s="2" t="s">
        <v>14</v>
      </c>
      <c r="I718" s="2">
        <v>0.09</v>
      </c>
      <c r="J718" s="2" t="s">
        <v>14</v>
      </c>
      <c r="K718" s="2">
        <v>0</v>
      </c>
      <c r="L718" s="4">
        <v>0.05</v>
      </c>
    </row>
    <row r="719" spans="1:12" x14ac:dyDescent="0.25">
      <c r="A719" s="5">
        <v>45658</v>
      </c>
      <c r="B719" s="1" t="s">
        <v>27</v>
      </c>
      <c r="C719" s="1" t="s">
        <v>24</v>
      </c>
      <c r="D719" s="2"/>
      <c r="E719" s="3">
        <v>2.2000000000000002</v>
      </c>
      <c r="F719" s="2" t="s">
        <v>14</v>
      </c>
      <c r="G719" s="2">
        <v>0</v>
      </c>
      <c r="H719" s="2" t="s">
        <v>14</v>
      </c>
      <c r="I719" s="2" t="s">
        <v>14</v>
      </c>
      <c r="J719" s="2" t="s">
        <v>14</v>
      </c>
      <c r="K719" s="2">
        <v>0</v>
      </c>
      <c r="L719" s="4">
        <v>0.05</v>
      </c>
    </row>
    <row r="720" spans="1:12" x14ac:dyDescent="0.25">
      <c r="A720" s="5">
        <v>45658</v>
      </c>
      <c r="B720" s="1" t="s">
        <v>27</v>
      </c>
      <c r="C720" s="1" t="s">
        <v>25</v>
      </c>
      <c r="D720" s="2"/>
      <c r="E720" s="3">
        <v>1</v>
      </c>
      <c r="F720" s="2">
        <v>9.2499999999999999E-2</v>
      </c>
      <c r="G720" s="2">
        <v>0</v>
      </c>
      <c r="H720" s="2" t="s">
        <v>14</v>
      </c>
      <c r="I720" s="2" t="s">
        <v>14</v>
      </c>
      <c r="J720" s="2" t="s">
        <v>14</v>
      </c>
      <c r="K720" s="2">
        <v>0</v>
      </c>
      <c r="L720" s="4">
        <v>0.05</v>
      </c>
    </row>
    <row r="721" spans="1:12" x14ac:dyDescent="0.25">
      <c r="A721" s="5">
        <v>45658</v>
      </c>
      <c r="B721" s="1" t="s">
        <v>30</v>
      </c>
      <c r="C721" s="1" t="s">
        <v>13</v>
      </c>
      <c r="D721" s="2"/>
      <c r="E721" s="3">
        <v>1</v>
      </c>
      <c r="F721" s="2">
        <v>9.5000000000000001E-2</v>
      </c>
      <c r="G721" s="2">
        <v>0</v>
      </c>
      <c r="H721" s="2" t="s">
        <v>14</v>
      </c>
      <c r="I721" s="2" t="s">
        <v>14</v>
      </c>
      <c r="J721" s="2" t="s">
        <v>14</v>
      </c>
      <c r="K721" s="2">
        <v>0</v>
      </c>
      <c r="L721" s="4">
        <v>0.05</v>
      </c>
    </row>
    <row r="722" spans="1:12" x14ac:dyDescent="0.25">
      <c r="A722" s="5">
        <v>45658</v>
      </c>
      <c r="B722" s="1" t="s">
        <v>30</v>
      </c>
      <c r="C722" s="1" t="s">
        <v>17</v>
      </c>
      <c r="D722" s="2"/>
      <c r="E722" s="3">
        <v>1</v>
      </c>
      <c r="F722" s="2" t="s">
        <v>14</v>
      </c>
      <c r="G722" s="2">
        <v>0</v>
      </c>
      <c r="H722" s="2" t="s">
        <v>14</v>
      </c>
      <c r="I722" s="2">
        <v>0.09</v>
      </c>
      <c r="J722" s="2" t="s">
        <v>14</v>
      </c>
      <c r="K722" s="2">
        <v>0</v>
      </c>
      <c r="L722" s="4">
        <v>0.05</v>
      </c>
    </row>
    <row r="723" spans="1:12" x14ac:dyDescent="0.25">
      <c r="A723" s="5">
        <v>45658</v>
      </c>
      <c r="B723" s="1" t="s">
        <v>30</v>
      </c>
      <c r="C723" s="1" t="s">
        <v>24</v>
      </c>
      <c r="D723" s="2"/>
      <c r="E723" s="3">
        <v>2.2000000000000002</v>
      </c>
      <c r="F723" s="2" t="s">
        <v>14</v>
      </c>
      <c r="G723" s="2">
        <v>0</v>
      </c>
      <c r="H723" s="2" t="s">
        <v>14</v>
      </c>
      <c r="I723" s="2" t="s">
        <v>14</v>
      </c>
      <c r="J723" s="2" t="s">
        <v>14</v>
      </c>
      <c r="K723" s="2">
        <v>0</v>
      </c>
      <c r="L723" s="4">
        <v>0.05</v>
      </c>
    </row>
    <row r="724" spans="1:12" x14ac:dyDescent="0.25">
      <c r="A724" s="5">
        <v>45658</v>
      </c>
      <c r="B724" s="1" t="s">
        <v>30</v>
      </c>
      <c r="C724" s="1" t="s">
        <v>25</v>
      </c>
      <c r="D724" s="2"/>
      <c r="E724" s="3">
        <v>1</v>
      </c>
      <c r="F724" s="2">
        <v>9.5000000000000001E-2</v>
      </c>
      <c r="G724" s="2">
        <v>0</v>
      </c>
      <c r="H724" s="2" t="s">
        <v>14</v>
      </c>
      <c r="I724" s="2" t="s">
        <v>14</v>
      </c>
      <c r="J724" s="2" t="s">
        <v>14</v>
      </c>
      <c r="K724" s="2">
        <v>0</v>
      </c>
      <c r="L724" s="4">
        <v>0.05</v>
      </c>
    </row>
    <row r="725" spans="1:12" x14ac:dyDescent="0.25">
      <c r="A725" s="5">
        <v>45658</v>
      </c>
      <c r="B725" s="1" t="s">
        <v>28</v>
      </c>
      <c r="C725" s="1" t="s">
        <v>13</v>
      </c>
      <c r="D725" s="2"/>
      <c r="E725" s="3">
        <v>1</v>
      </c>
      <c r="F725" s="2">
        <v>8.5000000000000006E-2</v>
      </c>
      <c r="G725" s="2">
        <v>0</v>
      </c>
      <c r="H725" s="2" t="s">
        <v>14</v>
      </c>
      <c r="I725" s="2" t="s">
        <v>14</v>
      </c>
      <c r="J725" s="2" t="s">
        <v>14</v>
      </c>
      <c r="K725" s="2">
        <v>0</v>
      </c>
      <c r="L725" s="4">
        <v>0.05</v>
      </c>
    </row>
    <row r="726" spans="1:12" x14ac:dyDescent="0.25">
      <c r="A726" s="5">
        <v>45658</v>
      </c>
      <c r="B726" s="1" t="s">
        <v>28</v>
      </c>
      <c r="C726" s="1" t="s">
        <v>16</v>
      </c>
      <c r="D726" s="2"/>
      <c r="E726" s="3">
        <v>1</v>
      </c>
      <c r="F726" s="2">
        <v>7.0000000000000007E-2</v>
      </c>
      <c r="G726" s="2">
        <v>1.4999999999999999E-2</v>
      </c>
      <c r="H726" s="2" t="s">
        <v>14</v>
      </c>
      <c r="I726" s="2" t="s">
        <v>14</v>
      </c>
      <c r="J726" s="2" t="s">
        <v>14</v>
      </c>
      <c r="K726" s="2">
        <v>0</v>
      </c>
      <c r="L726" s="4">
        <v>0.05</v>
      </c>
    </row>
    <row r="727" spans="1:12" x14ac:dyDescent="0.25">
      <c r="A727" s="5">
        <v>45658</v>
      </c>
      <c r="B727" s="1" t="s">
        <v>28</v>
      </c>
      <c r="C727" s="1" t="s">
        <v>17</v>
      </c>
      <c r="D727" s="2"/>
      <c r="E727" s="3">
        <v>1</v>
      </c>
      <c r="F727" s="2" t="s">
        <v>14</v>
      </c>
      <c r="G727" s="2">
        <v>0</v>
      </c>
      <c r="H727" s="2" t="s">
        <v>14</v>
      </c>
      <c r="I727" s="2">
        <v>7.7499999999999999E-2</v>
      </c>
      <c r="J727" s="2" t="s">
        <v>14</v>
      </c>
      <c r="K727" s="2">
        <v>0</v>
      </c>
      <c r="L727" s="4">
        <v>0.05</v>
      </c>
    </row>
    <row r="728" spans="1:12" x14ac:dyDescent="0.25">
      <c r="A728" s="5">
        <v>45658</v>
      </c>
      <c r="B728" s="1" t="s">
        <v>28</v>
      </c>
      <c r="C728" s="1" t="s">
        <v>18</v>
      </c>
      <c r="D728" s="2"/>
      <c r="E728" s="3">
        <v>1</v>
      </c>
      <c r="F728" s="2" t="s">
        <v>14</v>
      </c>
      <c r="G728" s="2">
        <v>0</v>
      </c>
      <c r="H728" s="2">
        <v>6.8500000000000005E-2</v>
      </c>
      <c r="I728" s="2" t="s">
        <v>14</v>
      </c>
      <c r="J728" s="2" t="s">
        <v>14</v>
      </c>
      <c r="K728" s="2">
        <v>0</v>
      </c>
      <c r="L728" s="4">
        <v>0.05</v>
      </c>
    </row>
    <row r="729" spans="1:12" x14ac:dyDescent="0.25">
      <c r="A729" s="5">
        <v>45658</v>
      </c>
      <c r="B729" s="1" t="s">
        <v>29</v>
      </c>
      <c r="C729" s="1" t="s">
        <v>13</v>
      </c>
      <c r="D729" s="2"/>
      <c r="E729" s="3">
        <v>1</v>
      </c>
      <c r="F729" s="2">
        <v>7.7499999999999999E-2</v>
      </c>
      <c r="G729" s="2">
        <v>0</v>
      </c>
      <c r="H729" s="2" t="s">
        <v>14</v>
      </c>
      <c r="I729" s="2" t="s">
        <v>14</v>
      </c>
      <c r="J729" s="2" t="s">
        <v>14</v>
      </c>
      <c r="K729" s="2">
        <v>0</v>
      </c>
      <c r="L729" s="4">
        <v>0.05</v>
      </c>
    </row>
    <row r="730" spans="1:12" x14ac:dyDescent="0.25">
      <c r="A730" s="5">
        <v>45658</v>
      </c>
      <c r="B730" s="1" t="s">
        <v>29</v>
      </c>
      <c r="C730" s="1" t="s">
        <v>16</v>
      </c>
      <c r="D730" s="2"/>
      <c r="E730" s="3">
        <v>1</v>
      </c>
      <c r="F730" s="2">
        <v>5.7500000000000002E-2</v>
      </c>
      <c r="G730" s="2">
        <v>1.4999999999999999E-2</v>
      </c>
      <c r="H730" s="2" t="s">
        <v>14</v>
      </c>
      <c r="I730" s="2" t="s">
        <v>14</v>
      </c>
      <c r="J730" s="2" t="s">
        <v>14</v>
      </c>
      <c r="K730" s="2">
        <v>0</v>
      </c>
      <c r="L730" s="4">
        <v>0.05</v>
      </c>
    </row>
    <row r="731" spans="1:12" x14ac:dyDescent="0.25">
      <c r="A731" s="5">
        <v>45658</v>
      </c>
      <c r="B731" s="1" t="s">
        <v>29</v>
      </c>
      <c r="C731" s="1" t="s">
        <v>17</v>
      </c>
      <c r="D731" s="2"/>
      <c r="E731" s="3">
        <v>1</v>
      </c>
      <c r="F731" s="2" t="s">
        <v>14</v>
      </c>
      <c r="G731" s="2">
        <v>0</v>
      </c>
      <c r="H731" s="2" t="s">
        <v>14</v>
      </c>
      <c r="I731" s="2">
        <v>8.6999999999999994E-2</v>
      </c>
      <c r="J731" s="2" t="s">
        <v>14</v>
      </c>
      <c r="K731" s="2">
        <v>0</v>
      </c>
      <c r="L731" s="4">
        <v>0.05</v>
      </c>
    </row>
    <row r="732" spans="1:12" x14ac:dyDescent="0.25">
      <c r="A732" s="5">
        <v>45658</v>
      </c>
      <c r="B732" s="1" t="s">
        <v>29</v>
      </c>
      <c r="C732" s="1" t="s">
        <v>18</v>
      </c>
      <c r="D732" s="2"/>
      <c r="E732" s="3">
        <v>1</v>
      </c>
      <c r="F732" s="2" t="s">
        <v>14</v>
      </c>
      <c r="G732" s="2">
        <v>0</v>
      </c>
      <c r="H732" s="2">
        <v>0.06</v>
      </c>
      <c r="I732" s="2" t="s">
        <v>14</v>
      </c>
      <c r="J732" s="2" t="s">
        <v>14</v>
      </c>
      <c r="K732" s="2">
        <v>0</v>
      </c>
      <c r="L732" s="4">
        <v>0.05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6BE0-AC0A-4ECF-A62B-48A0540FD063}">
  <sheetPr codeName="Sheet2" filterMode="1"/>
  <dimension ref="A1:P732"/>
  <sheetViews>
    <sheetView showGridLines="0" workbookViewId="0">
      <selection activeCell="B642" sqref="B642"/>
    </sheetView>
  </sheetViews>
  <sheetFormatPr defaultRowHeight="15" outlineLevelCol="1" x14ac:dyDescent="0.25"/>
  <cols>
    <col min="1" max="1" width="10.85546875" bestFit="1" customWidth="1"/>
    <col min="2" max="2" width="14.28515625" bestFit="1" customWidth="1"/>
    <col min="3" max="3" width="8.85546875" bestFit="1" customWidth="1"/>
    <col min="4" max="4" width="7.28515625" bestFit="1" customWidth="1"/>
    <col min="5" max="5" width="5.5703125" bestFit="1" customWidth="1"/>
    <col min="6" max="6" width="8.28515625" bestFit="1" customWidth="1"/>
    <col min="7" max="7" width="6.140625" bestFit="1" customWidth="1"/>
    <col min="8" max="8" width="10.140625" bestFit="1" customWidth="1"/>
    <col min="9" max="9" width="7.140625" bestFit="1" customWidth="1"/>
    <col min="10" max="10" width="13.140625" bestFit="1" customWidth="1"/>
    <col min="11" max="11" width="10" bestFit="1" customWidth="1"/>
    <col min="12" max="12" width="7.7109375" hidden="1" customWidth="1" outlineLevel="1"/>
    <col min="13" max="13" width="9.140625" collapsed="1"/>
    <col min="15" max="15" width="9.140625" style="7"/>
  </cols>
  <sheetData>
    <row r="1" spans="1:16" x14ac:dyDescent="0.25">
      <c r="A1" s="16" t="s">
        <v>0</v>
      </c>
      <c r="B1" s="17" t="s">
        <v>1</v>
      </c>
      <c r="C1" s="16" t="s">
        <v>2</v>
      </c>
      <c r="D1" s="18" t="s">
        <v>3</v>
      </c>
      <c r="E1" s="19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20" t="s">
        <v>11</v>
      </c>
      <c r="O1" s="13" t="s">
        <v>31</v>
      </c>
      <c r="P1" t="s">
        <v>33</v>
      </c>
    </row>
    <row r="2" spans="1:16" hidden="1" x14ac:dyDescent="0.25">
      <c r="A2" s="5">
        <v>45110</v>
      </c>
      <c r="B2" s="1" t="s">
        <v>12</v>
      </c>
      <c r="C2" s="1" t="s">
        <v>13</v>
      </c>
      <c r="D2" s="2">
        <v>5.4800000000000001E-2</v>
      </c>
      <c r="E2" s="3">
        <v>1</v>
      </c>
      <c r="F2" s="2">
        <v>0.1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4">
        <v>0.97</v>
      </c>
      <c r="M2" s="15"/>
    </row>
    <row r="3" spans="1:16" hidden="1" x14ac:dyDescent="0.25">
      <c r="A3" s="5">
        <v>45110</v>
      </c>
      <c r="B3" s="1" t="s">
        <v>15</v>
      </c>
      <c r="C3" s="1" t="s">
        <v>13</v>
      </c>
      <c r="D3" s="2">
        <v>5.4800000000000001E-2</v>
      </c>
      <c r="E3" s="3">
        <v>1</v>
      </c>
      <c r="F3" s="2">
        <v>0.1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4">
        <v>0.97</v>
      </c>
      <c r="M3" s="15"/>
      <c r="O3" s="7" t="s">
        <v>34</v>
      </c>
      <c r="P3" s="12" t="s">
        <v>37</v>
      </c>
    </row>
    <row r="4" spans="1:16" hidden="1" x14ac:dyDescent="0.25">
      <c r="A4" s="5">
        <v>45110</v>
      </c>
      <c r="B4" s="1" t="s">
        <v>15</v>
      </c>
      <c r="C4" s="1" t="s">
        <v>16</v>
      </c>
      <c r="D4" s="2">
        <v>3.85E-2</v>
      </c>
      <c r="E4" s="3">
        <v>1</v>
      </c>
      <c r="F4" s="2">
        <v>8.5000000000000006E-2</v>
      </c>
      <c r="G4" s="2">
        <v>1.4999999999999999E-2</v>
      </c>
      <c r="H4" s="2">
        <v>0</v>
      </c>
      <c r="I4" s="2">
        <v>0</v>
      </c>
      <c r="J4" s="2">
        <v>0</v>
      </c>
      <c r="K4" s="2">
        <v>0</v>
      </c>
      <c r="L4" s="4">
        <v>0.97</v>
      </c>
      <c r="M4" s="15"/>
      <c r="P4" s="12" t="s">
        <v>60</v>
      </c>
    </row>
    <row r="5" spans="1:16" hidden="1" x14ac:dyDescent="0.25">
      <c r="A5" s="5">
        <v>45110</v>
      </c>
      <c r="B5" s="1" t="s">
        <v>15</v>
      </c>
      <c r="C5" s="1" t="s">
        <v>17</v>
      </c>
      <c r="D5" s="2">
        <v>3.0499999999999999E-2</v>
      </c>
      <c r="E5" s="3">
        <v>1</v>
      </c>
      <c r="F5" s="2">
        <v>9.9999000000000002</v>
      </c>
      <c r="G5" s="2">
        <v>0</v>
      </c>
      <c r="H5" s="2">
        <v>0</v>
      </c>
      <c r="I5" s="2">
        <v>0.1</v>
      </c>
      <c r="J5" s="2">
        <v>0</v>
      </c>
      <c r="K5" s="2">
        <v>0</v>
      </c>
      <c r="L5" s="4">
        <v>0.97</v>
      </c>
      <c r="M5" s="15"/>
      <c r="P5" t="s">
        <v>38</v>
      </c>
    </row>
    <row r="6" spans="1:16" hidden="1" x14ac:dyDescent="0.25">
      <c r="A6" s="5">
        <v>45110</v>
      </c>
      <c r="B6" s="1" t="s">
        <v>15</v>
      </c>
      <c r="C6" s="1" t="s">
        <v>18</v>
      </c>
      <c r="D6" s="2">
        <v>5.3499999999999999E-2</v>
      </c>
      <c r="E6" s="3">
        <v>1</v>
      </c>
      <c r="F6" s="2">
        <v>9.9999000000000002</v>
      </c>
      <c r="G6" s="2">
        <v>0</v>
      </c>
      <c r="H6" s="2">
        <v>7.4999999999999997E-2</v>
      </c>
      <c r="I6" s="2">
        <v>0</v>
      </c>
      <c r="J6" s="2">
        <v>0</v>
      </c>
      <c r="K6" s="2">
        <v>0</v>
      </c>
      <c r="L6" s="4">
        <v>0.97</v>
      </c>
      <c r="M6" s="15"/>
      <c r="O6" s="7" t="s">
        <v>39</v>
      </c>
      <c r="P6" s="12" t="s">
        <v>42</v>
      </c>
    </row>
    <row r="7" spans="1:16" hidden="1" x14ac:dyDescent="0.25">
      <c r="A7" s="5">
        <v>45110</v>
      </c>
      <c r="B7" s="1" t="s">
        <v>19</v>
      </c>
      <c r="C7" s="1" t="s">
        <v>13</v>
      </c>
      <c r="D7" s="2">
        <v>4.3499999999999997E-2</v>
      </c>
      <c r="E7" s="3">
        <v>1</v>
      </c>
      <c r="F7" s="2">
        <v>7.4999999999999997E-2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4">
        <v>0.97</v>
      </c>
      <c r="M7" s="15"/>
      <c r="O7" s="7" t="s">
        <v>40</v>
      </c>
      <c r="P7" t="s">
        <v>41</v>
      </c>
    </row>
    <row r="8" spans="1:16" hidden="1" x14ac:dyDescent="0.25">
      <c r="A8" s="5">
        <v>45110</v>
      </c>
      <c r="B8" s="1" t="s">
        <v>19</v>
      </c>
      <c r="C8" s="1" t="s">
        <v>16</v>
      </c>
      <c r="D8" s="2">
        <v>2.63E-2</v>
      </c>
      <c r="E8" s="3">
        <v>1</v>
      </c>
      <c r="F8" s="2">
        <v>0.06</v>
      </c>
      <c r="G8" s="2">
        <v>1.4999999999999999E-2</v>
      </c>
      <c r="H8" s="2">
        <v>0</v>
      </c>
      <c r="I8" s="2">
        <v>0</v>
      </c>
      <c r="J8" s="2">
        <v>0</v>
      </c>
      <c r="K8" s="2">
        <v>0</v>
      </c>
      <c r="L8" s="4">
        <v>0.97</v>
      </c>
      <c r="M8" s="15"/>
      <c r="O8" s="7" t="s">
        <v>43</v>
      </c>
      <c r="P8" s="12" t="s">
        <v>44</v>
      </c>
    </row>
    <row r="9" spans="1:16" hidden="1" x14ac:dyDescent="0.25">
      <c r="A9" s="5">
        <v>45110</v>
      </c>
      <c r="B9" s="1" t="s">
        <v>19</v>
      </c>
      <c r="C9" s="1" t="s">
        <v>17</v>
      </c>
      <c r="D9" s="2">
        <v>2.6700000000000002E-2</v>
      </c>
      <c r="E9" s="3">
        <v>1</v>
      </c>
      <c r="F9" s="2">
        <v>9.9999000000000002</v>
      </c>
      <c r="G9" s="2">
        <v>0</v>
      </c>
      <c r="H9" s="2">
        <v>0</v>
      </c>
      <c r="I9" s="2">
        <v>0.11</v>
      </c>
      <c r="J9" s="2">
        <v>0</v>
      </c>
      <c r="K9" s="2">
        <v>0</v>
      </c>
      <c r="L9" s="4">
        <v>0.97</v>
      </c>
      <c r="M9" s="15"/>
      <c r="O9" s="7" t="s">
        <v>45</v>
      </c>
      <c r="P9" t="s">
        <v>47</v>
      </c>
    </row>
    <row r="10" spans="1:16" hidden="1" x14ac:dyDescent="0.25">
      <c r="A10" s="5">
        <v>45110</v>
      </c>
      <c r="B10" s="1" t="s">
        <v>19</v>
      </c>
      <c r="C10" s="1" t="s">
        <v>18</v>
      </c>
      <c r="D10" s="2">
        <v>4.2799999999999998E-2</v>
      </c>
      <c r="E10" s="3">
        <v>1</v>
      </c>
      <c r="F10" s="2">
        <v>9.9999000000000002</v>
      </c>
      <c r="G10" s="2">
        <v>0</v>
      </c>
      <c r="H10" s="2">
        <v>0.06</v>
      </c>
      <c r="I10" s="2">
        <v>0</v>
      </c>
      <c r="J10" s="2">
        <v>0</v>
      </c>
      <c r="K10" s="2">
        <v>0</v>
      </c>
      <c r="L10" s="4">
        <v>0.97</v>
      </c>
      <c r="M10" s="15"/>
      <c r="O10" s="7" t="s">
        <v>46</v>
      </c>
      <c r="P10" s="14" t="s">
        <v>66</v>
      </c>
    </row>
    <row r="11" spans="1:16" hidden="1" x14ac:dyDescent="0.25">
      <c r="A11" s="5">
        <v>45110</v>
      </c>
      <c r="B11" s="1" t="s">
        <v>20</v>
      </c>
      <c r="C11" s="1" t="s">
        <v>13</v>
      </c>
      <c r="D11" s="2">
        <v>5.4800000000000001E-2</v>
      </c>
      <c r="E11" s="3">
        <v>1</v>
      </c>
      <c r="F11" s="2">
        <v>0.1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4">
        <v>0.97</v>
      </c>
      <c r="M11" s="15"/>
      <c r="O11"/>
    </row>
    <row r="12" spans="1:16" hidden="1" x14ac:dyDescent="0.25">
      <c r="A12" s="5">
        <v>45110</v>
      </c>
      <c r="B12" s="1" t="s">
        <v>20</v>
      </c>
      <c r="C12" s="1" t="s">
        <v>17</v>
      </c>
      <c r="D12" s="2">
        <v>3.0499999999999999E-2</v>
      </c>
      <c r="E12" s="3">
        <v>1</v>
      </c>
      <c r="F12" s="2">
        <v>9.9999000000000002</v>
      </c>
      <c r="G12" s="2">
        <v>0</v>
      </c>
      <c r="H12" s="2">
        <v>0</v>
      </c>
      <c r="I12" s="2">
        <v>0.1</v>
      </c>
      <c r="J12" s="2">
        <v>0</v>
      </c>
      <c r="K12" s="2">
        <v>0</v>
      </c>
      <c r="L12" s="4">
        <v>0.97</v>
      </c>
      <c r="M12" s="15"/>
      <c r="O12"/>
    </row>
    <row r="13" spans="1:16" hidden="1" x14ac:dyDescent="0.25">
      <c r="A13" s="5">
        <v>45110</v>
      </c>
      <c r="B13" s="1" t="s">
        <v>20</v>
      </c>
      <c r="C13" s="1" t="s">
        <v>21</v>
      </c>
      <c r="D13" s="2">
        <v>6.2E-2</v>
      </c>
      <c r="E13" s="3">
        <v>1</v>
      </c>
      <c r="F13" s="2">
        <v>0.12</v>
      </c>
      <c r="G13" s="2">
        <v>0</v>
      </c>
      <c r="H13" s="2">
        <v>0</v>
      </c>
      <c r="I13" s="2">
        <v>0</v>
      </c>
      <c r="J13" s="2">
        <v>4.1500000000000002E-2</v>
      </c>
      <c r="K13" s="2">
        <v>0.6</v>
      </c>
      <c r="L13" s="4">
        <v>0.97</v>
      </c>
      <c r="M13" s="15"/>
      <c r="O13"/>
    </row>
    <row r="14" spans="1:16" hidden="1" x14ac:dyDescent="0.25">
      <c r="A14" s="5">
        <v>45110</v>
      </c>
      <c r="B14" s="1" t="s">
        <v>20</v>
      </c>
      <c r="C14" s="1" t="s">
        <v>22</v>
      </c>
      <c r="D14" s="2">
        <v>6.2E-2</v>
      </c>
      <c r="E14" s="3">
        <v>1</v>
      </c>
      <c r="F14" s="2">
        <v>0.12</v>
      </c>
      <c r="G14" s="2">
        <v>0</v>
      </c>
      <c r="H14" s="2">
        <v>0</v>
      </c>
      <c r="I14" s="2">
        <v>0</v>
      </c>
      <c r="J14" s="2">
        <v>2.1499999999999998E-2</v>
      </c>
      <c r="K14" s="2">
        <v>0.24</v>
      </c>
      <c r="L14" s="4">
        <v>0.97</v>
      </c>
      <c r="M14" s="15"/>
      <c r="O14"/>
    </row>
    <row r="15" spans="1:16" hidden="1" x14ac:dyDescent="0.25">
      <c r="A15" s="5">
        <v>45110</v>
      </c>
      <c r="B15" s="1" t="s">
        <v>23</v>
      </c>
      <c r="C15" s="1" t="s">
        <v>24</v>
      </c>
      <c r="D15" s="2">
        <v>2.4299999999999999E-2</v>
      </c>
      <c r="E15" s="3">
        <v>2.4</v>
      </c>
      <c r="F15" s="2">
        <v>9.9999000000000002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4">
        <v>0.97</v>
      </c>
      <c r="M15" s="15"/>
      <c r="O15"/>
    </row>
    <row r="16" spans="1:16" hidden="1" x14ac:dyDescent="0.25">
      <c r="A16" s="5">
        <v>45110</v>
      </c>
      <c r="B16" s="1" t="s">
        <v>23</v>
      </c>
      <c r="C16" s="1" t="s">
        <v>25</v>
      </c>
      <c r="D16" s="2">
        <v>5.5399999999999998E-2</v>
      </c>
      <c r="E16" s="3">
        <v>1</v>
      </c>
      <c r="F16" s="2">
        <v>0.105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4">
        <v>0.97</v>
      </c>
      <c r="M16" s="15"/>
      <c r="O16"/>
    </row>
    <row r="17" spans="1:15" hidden="1" x14ac:dyDescent="0.25">
      <c r="A17" s="5">
        <v>45110</v>
      </c>
      <c r="B17" s="1" t="s">
        <v>23</v>
      </c>
      <c r="C17" s="1" t="s">
        <v>13</v>
      </c>
      <c r="D17" s="2">
        <v>5.67E-2</v>
      </c>
      <c r="E17" s="3">
        <v>1</v>
      </c>
      <c r="F17" s="2">
        <v>0.105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4">
        <v>0.97</v>
      </c>
      <c r="M17" s="15"/>
      <c r="O17"/>
    </row>
    <row r="18" spans="1:15" hidden="1" x14ac:dyDescent="0.25">
      <c r="A18" s="5">
        <v>45110</v>
      </c>
      <c r="B18" s="1" t="s">
        <v>23</v>
      </c>
      <c r="C18" s="1" t="s">
        <v>17</v>
      </c>
      <c r="D18" s="2">
        <v>3.0499999999999999E-2</v>
      </c>
      <c r="E18" s="3">
        <v>1</v>
      </c>
      <c r="F18" s="2">
        <v>9.9999000000000002</v>
      </c>
      <c r="G18" s="2">
        <v>0</v>
      </c>
      <c r="H18" s="2">
        <v>0</v>
      </c>
      <c r="I18" s="2">
        <v>0.1</v>
      </c>
      <c r="J18" s="2">
        <v>0</v>
      </c>
      <c r="K18" s="2">
        <v>0</v>
      </c>
      <c r="L18" s="4">
        <v>0.97</v>
      </c>
      <c r="M18" s="15"/>
      <c r="O18"/>
    </row>
    <row r="19" spans="1:15" hidden="1" x14ac:dyDescent="0.25">
      <c r="A19" s="5">
        <v>45110</v>
      </c>
      <c r="B19" s="1" t="s">
        <v>23</v>
      </c>
      <c r="C19" s="1" t="s">
        <v>21</v>
      </c>
      <c r="D19" s="2">
        <v>6.2E-2</v>
      </c>
      <c r="E19" s="3">
        <v>1</v>
      </c>
      <c r="F19" s="2">
        <v>0.12</v>
      </c>
      <c r="G19" s="2">
        <v>0</v>
      </c>
      <c r="H19" s="2">
        <v>0</v>
      </c>
      <c r="I19" s="2">
        <v>0</v>
      </c>
      <c r="J19" s="2">
        <v>4.1500000000000002E-2</v>
      </c>
      <c r="K19" s="2">
        <v>0.6</v>
      </c>
      <c r="L19" s="4">
        <v>0.97</v>
      </c>
      <c r="M19" s="15"/>
      <c r="O19"/>
    </row>
    <row r="20" spans="1:15" hidden="1" x14ac:dyDescent="0.25">
      <c r="A20" s="5">
        <v>45110</v>
      </c>
      <c r="B20" s="1" t="s">
        <v>23</v>
      </c>
      <c r="C20" s="1" t="s">
        <v>22</v>
      </c>
      <c r="D20" s="2">
        <v>6.2E-2</v>
      </c>
      <c r="E20" s="3">
        <v>1</v>
      </c>
      <c r="F20" s="2">
        <v>0.12</v>
      </c>
      <c r="G20" s="2">
        <v>0</v>
      </c>
      <c r="H20" s="2">
        <v>0</v>
      </c>
      <c r="I20" s="2">
        <v>0</v>
      </c>
      <c r="J20" s="2">
        <v>2.1499999999999998E-2</v>
      </c>
      <c r="K20" s="2">
        <v>0.24</v>
      </c>
      <c r="L20" s="4">
        <v>0.97</v>
      </c>
      <c r="M20" s="15"/>
      <c r="O20"/>
    </row>
    <row r="21" spans="1:15" hidden="1" x14ac:dyDescent="0.25">
      <c r="A21" s="5">
        <v>45110</v>
      </c>
      <c r="B21" s="1" t="s">
        <v>26</v>
      </c>
      <c r="C21" s="1" t="s">
        <v>24</v>
      </c>
      <c r="D21" s="2">
        <v>2.4299999999999999E-2</v>
      </c>
      <c r="E21" s="3">
        <v>2.4</v>
      </c>
      <c r="F21" s="2">
        <v>9.9999000000000002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4">
        <v>0.97</v>
      </c>
      <c r="M21" s="15"/>
      <c r="O21"/>
    </row>
    <row r="22" spans="1:15" hidden="1" x14ac:dyDescent="0.25">
      <c r="A22" s="5">
        <v>45110</v>
      </c>
      <c r="B22" s="1" t="s">
        <v>26</v>
      </c>
      <c r="C22" s="1" t="s">
        <v>25</v>
      </c>
      <c r="D22" s="2">
        <v>5.4399999999999997E-2</v>
      </c>
      <c r="E22" s="3">
        <v>1</v>
      </c>
      <c r="F22" s="2">
        <v>0.10249999999999999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4">
        <v>0.97</v>
      </c>
      <c r="M22" s="15"/>
      <c r="O22"/>
    </row>
    <row r="23" spans="1:15" hidden="1" x14ac:dyDescent="0.25">
      <c r="A23" s="5">
        <v>45110</v>
      </c>
      <c r="B23" s="1" t="s">
        <v>26</v>
      </c>
      <c r="C23" s="1" t="s">
        <v>13</v>
      </c>
      <c r="D23" s="2">
        <v>5.5800000000000002E-2</v>
      </c>
      <c r="E23" s="3">
        <v>1</v>
      </c>
      <c r="F23" s="2">
        <v>0.10249999999999999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4">
        <v>0.97</v>
      </c>
      <c r="M23" s="15"/>
      <c r="O23"/>
    </row>
    <row r="24" spans="1:15" hidden="1" x14ac:dyDescent="0.25">
      <c r="A24" s="5">
        <v>45110</v>
      </c>
      <c r="B24" s="1" t="s">
        <v>26</v>
      </c>
      <c r="C24" s="1" t="s">
        <v>17</v>
      </c>
      <c r="D24" s="2">
        <v>3.0499999999999999E-2</v>
      </c>
      <c r="E24" s="3">
        <v>1</v>
      </c>
      <c r="F24" s="2">
        <v>9.9999000000000002</v>
      </c>
      <c r="G24" s="2">
        <v>0</v>
      </c>
      <c r="H24" s="2">
        <v>0</v>
      </c>
      <c r="I24" s="2">
        <v>0.1</v>
      </c>
      <c r="J24" s="2">
        <v>0</v>
      </c>
      <c r="K24" s="2">
        <v>0</v>
      </c>
      <c r="L24" s="4">
        <v>0.97</v>
      </c>
      <c r="M24" s="15"/>
      <c r="O24"/>
    </row>
    <row r="25" spans="1:15" hidden="1" x14ac:dyDescent="0.25">
      <c r="A25" s="5">
        <v>45110</v>
      </c>
      <c r="B25" s="1" t="s">
        <v>26</v>
      </c>
      <c r="C25" s="1" t="s">
        <v>21</v>
      </c>
      <c r="D25" s="2">
        <v>6.2E-2</v>
      </c>
      <c r="E25" s="3">
        <v>1</v>
      </c>
      <c r="F25" s="2">
        <v>0.12</v>
      </c>
      <c r="G25" s="2">
        <v>0</v>
      </c>
      <c r="H25" s="2">
        <v>0</v>
      </c>
      <c r="I25" s="2">
        <v>0</v>
      </c>
      <c r="J25" s="2">
        <v>4.1500000000000002E-2</v>
      </c>
      <c r="K25" s="2">
        <v>0.6</v>
      </c>
      <c r="L25" s="4">
        <v>0.97</v>
      </c>
      <c r="M25" s="15"/>
      <c r="O25"/>
    </row>
    <row r="26" spans="1:15" hidden="1" x14ac:dyDescent="0.25">
      <c r="A26" s="5">
        <v>45110</v>
      </c>
      <c r="B26" s="1" t="s">
        <v>26</v>
      </c>
      <c r="C26" s="1" t="s">
        <v>22</v>
      </c>
      <c r="D26" s="2">
        <v>6.2E-2</v>
      </c>
      <c r="E26" s="3">
        <v>1</v>
      </c>
      <c r="F26" s="2">
        <v>0.12</v>
      </c>
      <c r="G26" s="2">
        <v>0</v>
      </c>
      <c r="H26" s="2">
        <v>0</v>
      </c>
      <c r="I26" s="2">
        <v>0</v>
      </c>
      <c r="J26" s="2">
        <v>2.1499999999999998E-2</v>
      </c>
      <c r="K26" s="2">
        <v>0.24</v>
      </c>
      <c r="L26" s="4">
        <v>0.97</v>
      </c>
      <c r="M26" s="15"/>
      <c r="O26"/>
    </row>
    <row r="27" spans="1:15" hidden="1" x14ac:dyDescent="0.25">
      <c r="A27" s="5">
        <v>45110</v>
      </c>
      <c r="B27" s="1" t="s">
        <v>27</v>
      </c>
      <c r="C27" s="1" t="s">
        <v>13</v>
      </c>
      <c r="D27" s="2">
        <v>5.2699999999999997E-2</v>
      </c>
      <c r="E27" s="3">
        <v>1</v>
      </c>
      <c r="F27" s="2">
        <v>9.5000000000000001E-2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4">
        <v>0.97</v>
      </c>
      <c r="M27" s="15"/>
      <c r="O27"/>
    </row>
    <row r="28" spans="1:15" hidden="1" x14ac:dyDescent="0.25">
      <c r="A28" s="5">
        <v>45110</v>
      </c>
      <c r="B28" s="1" t="s">
        <v>27</v>
      </c>
      <c r="C28" s="1" t="s">
        <v>17</v>
      </c>
      <c r="D28" s="2">
        <v>2.6700000000000002E-2</v>
      </c>
      <c r="E28" s="3">
        <v>1</v>
      </c>
      <c r="F28" s="2">
        <v>9.9999000000000002</v>
      </c>
      <c r="G28" s="2">
        <v>0</v>
      </c>
      <c r="H28" s="2">
        <v>0</v>
      </c>
      <c r="I28" s="2">
        <v>0.11</v>
      </c>
      <c r="J28" s="2">
        <v>0</v>
      </c>
      <c r="K28" s="2">
        <v>0</v>
      </c>
      <c r="L28" s="4">
        <v>0.97</v>
      </c>
      <c r="M28" s="15"/>
      <c r="O28"/>
    </row>
    <row r="29" spans="1:15" hidden="1" x14ac:dyDescent="0.25">
      <c r="A29" s="5">
        <v>45110</v>
      </c>
      <c r="B29" s="1" t="s">
        <v>27</v>
      </c>
      <c r="C29" s="1" t="s">
        <v>24</v>
      </c>
      <c r="D29" s="2">
        <v>2.2200000000000001E-2</v>
      </c>
      <c r="E29" s="3">
        <v>2.2000000000000002</v>
      </c>
      <c r="F29" s="2">
        <v>9.9999000000000002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4">
        <v>0.97</v>
      </c>
      <c r="M29" s="15"/>
      <c r="O29"/>
    </row>
    <row r="30" spans="1:15" hidden="1" x14ac:dyDescent="0.25">
      <c r="A30" s="5">
        <v>45110</v>
      </c>
      <c r="B30" s="1" t="s">
        <v>27</v>
      </c>
      <c r="C30" s="1" t="s">
        <v>25</v>
      </c>
      <c r="D30" s="2">
        <v>5.11E-2</v>
      </c>
      <c r="E30" s="3">
        <v>1</v>
      </c>
      <c r="F30" s="2">
        <v>9.5000000000000001E-2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4">
        <v>0.97</v>
      </c>
      <c r="M30" s="15"/>
      <c r="O30"/>
    </row>
    <row r="31" spans="1:15" hidden="1" x14ac:dyDescent="0.25">
      <c r="A31" s="5">
        <v>45110</v>
      </c>
      <c r="B31" s="1" t="s">
        <v>28</v>
      </c>
      <c r="C31" s="1" t="s">
        <v>13</v>
      </c>
      <c r="D31" s="2">
        <v>4.8300000000000003E-2</v>
      </c>
      <c r="E31" s="3">
        <v>1</v>
      </c>
      <c r="F31" s="2">
        <v>8.5000000000000006E-2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4">
        <v>0.97</v>
      </c>
      <c r="M31" s="15"/>
      <c r="O31"/>
    </row>
    <row r="32" spans="1:15" hidden="1" x14ac:dyDescent="0.25">
      <c r="A32" s="5">
        <v>45110</v>
      </c>
      <c r="B32" s="1" t="s">
        <v>28</v>
      </c>
      <c r="C32" s="1" t="s">
        <v>16</v>
      </c>
      <c r="D32" s="2">
        <v>2.8799999999999999E-2</v>
      </c>
      <c r="E32" s="3">
        <v>1</v>
      </c>
      <c r="F32" s="2">
        <v>6.5000000000000002E-2</v>
      </c>
      <c r="G32" s="2">
        <v>1.4999999999999999E-2</v>
      </c>
      <c r="H32" s="2">
        <v>0</v>
      </c>
      <c r="I32" s="2">
        <v>0</v>
      </c>
      <c r="J32" s="2">
        <v>0</v>
      </c>
      <c r="K32" s="2">
        <v>0</v>
      </c>
      <c r="L32" s="4">
        <v>0.97</v>
      </c>
      <c r="M32" s="15"/>
      <c r="O32"/>
    </row>
    <row r="33" spans="1:15" hidden="1" x14ac:dyDescent="0.25">
      <c r="A33" s="5">
        <v>45110</v>
      </c>
      <c r="B33" s="1" t="s">
        <v>28</v>
      </c>
      <c r="C33" s="1" t="s">
        <v>17</v>
      </c>
      <c r="D33" s="2">
        <v>4.0500000000000001E-2</v>
      </c>
      <c r="E33" s="3">
        <v>1</v>
      </c>
      <c r="F33" s="2">
        <v>9.9999000000000002</v>
      </c>
      <c r="G33" s="2">
        <v>0</v>
      </c>
      <c r="H33" s="2">
        <v>0</v>
      </c>
      <c r="I33" s="2">
        <v>7.7499999999999999E-2</v>
      </c>
      <c r="J33" s="2">
        <v>0</v>
      </c>
      <c r="K33" s="2">
        <v>0</v>
      </c>
      <c r="L33" s="4">
        <v>0.97</v>
      </c>
      <c r="M33" s="15"/>
      <c r="O33"/>
    </row>
    <row r="34" spans="1:15" hidden="1" x14ac:dyDescent="0.25">
      <c r="A34" s="5">
        <v>45110</v>
      </c>
      <c r="B34" s="1" t="s">
        <v>28</v>
      </c>
      <c r="C34" s="1" t="s">
        <v>18</v>
      </c>
      <c r="D34" s="2">
        <v>4.9599999999999998E-2</v>
      </c>
      <c r="E34" s="3">
        <v>1</v>
      </c>
      <c r="F34" s="2">
        <v>9.9999000000000002</v>
      </c>
      <c r="G34" s="2">
        <v>0</v>
      </c>
      <c r="H34" s="2">
        <v>6.9500000000000006E-2</v>
      </c>
      <c r="I34" s="2">
        <v>0</v>
      </c>
      <c r="J34" s="2">
        <v>0</v>
      </c>
      <c r="K34" s="2">
        <v>0</v>
      </c>
      <c r="L34" s="4">
        <v>0.97</v>
      </c>
      <c r="M34" s="15"/>
      <c r="O34"/>
    </row>
    <row r="35" spans="1:15" hidden="1" x14ac:dyDescent="0.25">
      <c r="A35" s="5">
        <v>45110</v>
      </c>
      <c r="B35" s="1" t="s">
        <v>29</v>
      </c>
      <c r="C35" s="1" t="s">
        <v>13</v>
      </c>
      <c r="D35" s="2">
        <v>4.3499999999999997E-2</v>
      </c>
      <c r="E35" s="3">
        <v>1</v>
      </c>
      <c r="F35" s="2">
        <v>7.4999999999999997E-2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4">
        <v>0.97</v>
      </c>
      <c r="M35" s="15"/>
      <c r="O35"/>
    </row>
    <row r="36" spans="1:15" hidden="1" x14ac:dyDescent="0.25">
      <c r="A36" s="5">
        <v>45110</v>
      </c>
      <c r="B36" s="1" t="s">
        <v>29</v>
      </c>
      <c r="C36" s="1" t="s">
        <v>16</v>
      </c>
      <c r="D36" s="2">
        <v>2.0899999999999998E-2</v>
      </c>
      <c r="E36" s="3">
        <v>1</v>
      </c>
      <c r="F36" s="2">
        <v>0.05</v>
      </c>
      <c r="G36" s="2">
        <v>1.4999999999999999E-2</v>
      </c>
      <c r="H36" s="2">
        <v>0</v>
      </c>
      <c r="I36" s="2">
        <v>0</v>
      </c>
      <c r="J36" s="2">
        <v>0</v>
      </c>
      <c r="K36" s="2">
        <v>0</v>
      </c>
      <c r="L36" s="4">
        <v>0.97</v>
      </c>
      <c r="M36" s="15"/>
      <c r="O36"/>
    </row>
    <row r="37" spans="1:15" hidden="1" x14ac:dyDescent="0.25">
      <c r="A37" s="5">
        <v>45110</v>
      </c>
      <c r="B37" s="1" t="s">
        <v>29</v>
      </c>
      <c r="C37" s="1" t="s">
        <v>17</v>
      </c>
      <c r="D37" s="2">
        <v>3.5400000000000001E-2</v>
      </c>
      <c r="E37" s="3">
        <v>1</v>
      </c>
      <c r="F37" s="2">
        <v>9.9999000000000002</v>
      </c>
      <c r="G37" s="2">
        <v>0</v>
      </c>
      <c r="H37" s="2">
        <v>0</v>
      </c>
      <c r="I37" s="2">
        <v>8.8499999999999995E-2</v>
      </c>
      <c r="J37" s="2">
        <v>0</v>
      </c>
      <c r="K37" s="2">
        <v>0</v>
      </c>
      <c r="L37" s="4">
        <v>0.97</v>
      </c>
      <c r="M37" s="15"/>
    </row>
    <row r="38" spans="1:15" hidden="1" x14ac:dyDescent="0.25">
      <c r="A38" s="5">
        <v>45110</v>
      </c>
      <c r="B38" s="1" t="s">
        <v>29</v>
      </c>
      <c r="C38" s="1" t="s">
        <v>18</v>
      </c>
      <c r="D38" s="2">
        <v>4.2500000000000003E-2</v>
      </c>
      <c r="E38" s="3">
        <v>1</v>
      </c>
      <c r="F38" s="2">
        <v>9.9999000000000002</v>
      </c>
      <c r="G38" s="2">
        <v>0</v>
      </c>
      <c r="H38" s="2">
        <v>5.9499999999999997E-2</v>
      </c>
      <c r="I38" s="2">
        <v>0</v>
      </c>
      <c r="J38" s="2">
        <v>0</v>
      </c>
      <c r="K38" s="2">
        <v>0</v>
      </c>
      <c r="L38" s="4">
        <v>0.97</v>
      </c>
      <c r="M38" s="15"/>
    </row>
    <row r="39" spans="1:15" hidden="1" x14ac:dyDescent="0.25">
      <c r="A39" s="5">
        <v>45139</v>
      </c>
      <c r="B39" s="1" t="s">
        <v>12</v>
      </c>
      <c r="C39" s="1" t="s">
        <v>13</v>
      </c>
      <c r="D39" s="2">
        <v>5.5599999999999997E-2</v>
      </c>
      <c r="E39" s="3">
        <v>1</v>
      </c>
      <c r="F39" s="2">
        <v>0.1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4">
        <v>0.97</v>
      </c>
      <c r="M39" s="15"/>
    </row>
    <row r="40" spans="1:15" hidden="1" x14ac:dyDescent="0.25">
      <c r="A40" s="5">
        <v>45139</v>
      </c>
      <c r="B40" s="1" t="s">
        <v>15</v>
      </c>
      <c r="C40" s="1" t="s">
        <v>13</v>
      </c>
      <c r="D40" s="2">
        <v>5.5599999999999997E-2</v>
      </c>
      <c r="E40" s="3">
        <v>1</v>
      </c>
      <c r="F40" s="2">
        <v>0.1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4">
        <v>0.97</v>
      </c>
      <c r="M40" s="15"/>
    </row>
    <row r="41" spans="1:15" hidden="1" x14ac:dyDescent="0.25">
      <c r="A41" s="5">
        <v>45139</v>
      </c>
      <c r="B41" s="1" t="s">
        <v>15</v>
      </c>
      <c r="C41" s="1" t="s">
        <v>16</v>
      </c>
      <c r="D41" s="2">
        <v>3.9100000000000003E-2</v>
      </c>
      <c r="E41" s="3">
        <v>1</v>
      </c>
      <c r="F41" s="2">
        <v>8.5000000000000006E-2</v>
      </c>
      <c r="G41" s="2">
        <v>1.4999999999999999E-2</v>
      </c>
      <c r="H41" s="2">
        <v>0</v>
      </c>
      <c r="I41" s="2">
        <v>0</v>
      </c>
      <c r="J41" s="2">
        <v>0</v>
      </c>
      <c r="K41" s="2">
        <v>0</v>
      </c>
      <c r="L41" s="4">
        <v>0.97</v>
      </c>
      <c r="M41" s="15"/>
    </row>
    <row r="42" spans="1:15" hidden="1" x14ac:dyDescent="0.25">
      <c r="A42" s="5">
        <v>45139</v>
      </c>
      <c r="B42" s="1" t="s">
        <v>15</v>
      </c>
      <c r="C42" s="1" t="s">
        <v>17</v>
      </c>
      <c r="D42" s="2">
        <v>3.61E-2</v>
      </c>
      <c r="E42" s="3">
        <v>1</v>
      </c>
      <c r="F42" s="2">
        <v>9.9999000000000002</v>
      </c>
      <c r="G42" s="2">
        <v>0</v>
      </c>
      <c r="H42" s="2">
        <v>0</v>
      </c>
      <c r="I42" s="2">
        <v>0.08</v>
      </c>
      <c r="J42" s="2">
        <v>0</v>
      </c>
      <c r="K42" s="2">
        <v>0</v>
      </c>
      <c r="L42" s="4">
        <v>0.97</v>
      </c>
      <c r="M42" s="15"/>
    </row>
    <row r="43" spans="1:15" hidden="1" x14ac:dyDescent="0.25">
      <c r="A43" s="5">
        <v>45139</v>
      </c>
      <c r="B43" s="1" t="s">
        <v>15</v>
      </c>
      <c r="C43" s="1" t="s">
        <v>18</v>
      </c>
      <c r="D43" s="2">
        <v>5.4600000000000003E-2</v>
      </c>
      <c r="E43" s="3">
        <v>1</v>
      </c>
      <c r="F43" s="2">
        <v>9.9999000000000002</v>
      </c>
      <c r="G43" s="2">
        <v>0</v>
      </c>
      <c r="H43" s="2">
        <v>7.4999999999999997E-2</v>
      </c>
      <c r="I43" s="2">
        <v>0</v>
      </c>
      <c r="J43" s="2">
        <v>0</v>
      </c>
      <c r="K43" s="2">
        <v>0</v>
      </c>
      <c r="L43" s="4">
        <v>0.97</v>
      </c>
      <c r="M43" s="15"/>
    </row>
    <row r="44" spans="1:15" hidden="1" x14ac:dyDescent="0.25">
      <c r="A44" s="5">
        <v>45139</v>
      </c>
      <c r="B44" s="1" t="s">
        <v>19</v>
      </c>
      <c r="C44" s="1" t="s">
        <v>13</v>
      </c>
      <c r="D44" s="2">
        <v>4.4400000000000002E-2</v>
      </c>
      <c r="E44" s="3">
        <v>1</v>
      </c>
      <c r="F44" s="2">
        <v>7.4999999999999997E-2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4">
        <v>0.97</v>
      </c>
      <c r="M44" s="15"/>
    </row>
    <row r="45" spans="1:15" hidden="1" x14ac:dyDescent="0.25">
      <c r="A45" s="5">
        <v>45139</v>
      </c>
      <c r="B45" s="1" t="s">
        <v>19</v>
      </c>
      <c r="C45" s="1" t="s">
        <v>16</v>
      </c>
      <c r="D45" s="2">
        <v>2.6800000000000001E-2</v>
      </c>
      <c r="E45" s="3">
        <v>1</v>
      </c>
      <c r="F45" s="2">
        <v>0.06</v>
      </c>
      <c r="G45" s="2">
        <v>1.4999999999999999E-2</v>
      </c>
      <c r="H45" s="2">
        <v>0</v>
      </c>
      <c r="I45" s="2">
        <v>0</v>
      </c>
      <c r="J45" s="2">
        <v>0</v>
      </c>
      <c r="K45" s="2">
        <v>0</v>
      </c>
      <c r="L45" s="4">
        <v>0.97</v>
      </c>
      <c r="M45" s="15"/>
    </row>
    <row r="46" spans="1:15" hidden="1" x14ac:dyDescent="0.25">
      <c r="A46" s="5">
        <v>45139</v>
      </c>
      <c r="B46" s="1" t="s">
        <v>19</v>
      </c>
      <c r="C46" s="1" t="s">
        <v>17</v>
      </c>
      <c r="D46" s="2">
        <v>2.3599999999999999E-2</v>
      </c>
      <c r="E46" s="3">
        <v>1</v>
      </c>
      <c r="F46" s="2">
        <v>9.9999000000000002</v>
      </c>
      <c r="G46" s="2">
        <v>0</v>
      </c>
      <c r="H46" s="2">
        <v>0</v>
      </c>
      <c r="I46" s="2">
        <v>0.09</v>
      </c>
      <c r="J46" s="2">
        <v>0</v>
      </c>
      <c r="K46" s="2">
        <v>0</v>
      </c>
      <c r="L46" s="4">
        <v>0.97</v>
      </c>
      <c r="M46" s="15"/>
    </row>
    <row r="47" spans="1:15" hidden="1" x14ac:dyDescent="0.25">
      <c r="A47" s="5">
        <v>45139</v>
      </c>
      <c r="B47" s="1" t="s">
        <v>19</v>
      </c>
      <c r="C47" s="1" t="s">
        <v>18</v>
      </c>
      <c r="D47" s="2">
        <v>4.3700000000000003E-2</v>
      </c>
      <c r="E47" s="3">
        <v>1</v>
      </c>
      <c r="F47" s="2">
        <v>9.9999000000000002</v>
      </c>
      <c r="G47" s="2">
        <v>0</v>
      </c>
      <c r="H47" s="2">
        <v>0.06</v>
      </c>
      <c r="I47" s="2">
        <v>0</v>
      </c>
      <c r="J47" s="2">
        <v>0</v>
      </c>
      <c r="K47" s="2">
        <v>0</v>
      </c>
      <c r="L47" s="4">
        <v>0.97</v>
      </c>
      <c r="M47" s="15"/>
    </row>
    <row r="48" spans="1:15" hidden="1" x14ac:dyDescent="0.25">
      <c r="A48" s="5">
        <v>45139</v>
      </c>
      <c r="B48" s="1" t="s">
        <v>20</v>
      </c>
      <c r="C48" s="1" t="s">
        <v>13</v>
      </c>
      <c r="D48" s="2">
        <v>5.5599999999999997E-2</v>
      </c>
      <c r="E48" s="3">
        <v>1</v>
      </c>
      <c r="F48" s="2">
        <v>0.1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4">
        <v>0.97</v>
      </c>
      <c r="M48" s="15"/>
    </row>
    <row r="49" spans="1:13" hidden="1" x14ac:dyDescent="0.25">
      <c r="A49" s="5">
        <v>45139</v>
      </c>
      <c r="B49" s="1" t="s">
        <v>20</v>
      </c>
      <c r="C49" s="1" t="s">
        <v>17</v>
      </c>
      <c r="D49" s="2">
        <v>3.61E-2</v>
      </c>
      <c r="E49" s="3">
        <v>1</v>
      </c>
      <c r="F49" s="2">
        <v>9.9999000000000002</v>
      </c>
      <c r="G49" s="2">
        <v>0</v>
      </c>
      <c r="H49" s="2">
        <v>0</v>
      </c>
      <c r="I49" s="2">
        <v>0.08</v>
      </c>
      <c r="J49" s="2">
        <v>0</v>
      </c>
      <c r="K49" s="2">
        <v>0</v>
      </c>
      <c r="L49" s="4">
        <v>0.97</v>
      </c>
      <c r="M49" s="15"/>
    </row>
    <row r="50" spans="1:13" hidden="1" x14ac:dyDescent="0.25">
      <c r="A50" s="5">
        <v>45139</v>
      </c>
      <c r="B50" s="1" t="s">
        <v>20</v>
      </c>
      <c r="C50" s="1" t="s">
        <v>21</v>
      </c>
      <c r="D50" s="2">
        <v>6.2600000000000003E-2</v>
      </c>
      <c r="E50" s="3">
        <v>1</v>
      </c>
      <c r="F50" s="2">
        <v>0.12</v>
      </c>
      <c r="G50" s="2">
        <v>0</v>
      </c>
      <c r="H50" s="2">
        <v>0</v>
      </c>
      <c r="I50" s="2">
        <v>0</v>
      </c>
      <c r="J50" s="2">
        <v>4.1500000000000002E-2</v>
      </c>
      <c r="K50" s="2">
        <v>0.6</v>
      </c>
      <c r="L50" s="4">
        <v>0.97</v>
      </c>
      <c r="M50" s="15"/>
    </row>
    <row r="51" spans="1:13" hidden="1" x14ac:dyDescent="0.25">
      <c r="A51" s="5">
        <v>45139</v>
      </c>
      <c r="B51" s="1" t="s">
        <v>20</v>
      </c>
      <c r="C51" s="1" t="s">
        <v>22</v>
      </c>
      <c r="D51" s="2">
        <v>6.2600000000000003E-2</v>
      </c>
      <c r="E51" s="3">
        <v>1</v>
      </c>
      <c r="F51" s="2">
        <v>0.12</v>
      </c>
      <c r="G51" s="2">
        <v>0</v>
      </c>
      <c r="H51" s="2">
        <v>0</v>
      </c>
      <c r="I51" s="2">
        <v>0</v>
      </c>
      <c r="J51" s="2">
        <v>2.1499999999999998E-2</v>
      </c>
      <c r="K51" s="2">
        <v>0.24</v>
      </c>
      <c r="L51" s="4">
        <v>0.97</v>
      </c>
      <c r="M51" s="15"/>
    </row>
    <row r="52" spans="1:13" hidden="1" x14ac:dyDescent="0.25">
      <c r="A52" s="5">
        <v>45139</v>
      </c>
      <c r="B52" s="1" t="s">
        <v>23</v>
      </c>
      <c r="C52" s="1" t="s">
        <v>24</v>
      </c>
      <c r="D52" s="2">
        <v>2.4299999999999999E-2</v>
      </c>
      <c r="E52" s="3">
        <v>2.4</v>
      </c>
      <c r="F52" s="2">
        <v>9.9999000000000002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4">
        <v>0.97</v>
      </c>
      <c r="M52" s="15"/>
    </row>
    <row r="53" spans="1:13" hidden="1" x14ac:dyDescent="0.25">
      <c r="A53" s="5">
        <v>45139</v>
      </c>
      <c r="B53" s="1" t="s">
        <v>23</v>
      </c>
      <c r="C53" s="1" t="s">
        <v>25</v>
      </c>
      <c r="D53" s="2">
        <v>5.4699999999999999E-2</v>
      </c>
      <c r="E53" s="3">
        <v>1</v>
      </c>
      <c r="F53" s="2">
        <v>0.105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4">
        <v>0.97</v>
      </c>
      <c r="M53" s="15"/>
    </row>
    <row r="54" spans="1:13" hidden="1" x14ac:dyDescent="0.25">
      <c r="A54" s="5">
        <v>45139</v>
      </c>
      <c r="B54" s="1" t="s">
        <v>23</v>
      </c>
      <c r="C54" s="1" t="s">
        <v>13</v>
      </c>
      <c r="D54" s="2">
        <v>5.7500000000000002E-2</v>
      </c>
      <c r="E54" s="3">
        <v>1</v>
      </c>
      <c r="F54" s="2">
        <v>0.105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4">
        <v>0.97</v>
      </c>
      <c r="M54" s="15"/>
    </row>
    <row r="55" spans="1:13" hidden="1" x14ac:dyDescent="0.25">
      <c r="A55" s="5">
        <v>45139</v>
      </c>
      <c r="B55" s="1" t="s">
        <v>23</v>
      </c>
      <c r="C55" s="1" t="s">
        <v>17</v>
      </c>
      <c r="D55" s="2">
        <v>3.61E-2</v>
      </c>
      <c r="E55" s="3">
        <v>1</v>
      </c>
      <c r="F55" s="2">
        <v>9.9999000000000002</v>
      </c>
      <c r="G55" s="2">
        <v>0</v>
      </c>
      <c r="H55" s="2">
        <v>0</v>
      </c>
      <c r="I55" s="2">
        <v>0.08</v>
      </c>
      <c r="J55" s="2">
        <v>0</v>
      </c>
      <c r="K55" s="2">
        <v>0</v>
      </c>
      <c r="L55" s="4">
        <v>0.97</v>
      </c>
      <c r="M55" s="15"/>
    </row>
    <row r="56" spans="1:13" hidden="1" x14ac:dyDescent="0.25">
      <c r="A56" s="5">
        <v>45139</v>
      </c>
      <c r="B56" s="1" t="s">
        <v>23</v>
      </c>
      <c r="C56" s="1" t="s">
        <v>21</v>
      </c>
      <c r="D56" s="2">
        <v>6.2600000000000003E-2</v>
      </c>
      <c r="E56" s="3">
        <v>1</v>
      </c>
      <c r="F56" s="2">
        <v>0.12</v>
      </c>
      <c r="G56" s="2">
        <v>0</v>
      </c>
      <c r="H56" s="2">
        <v>0</v>
      </c>
      <c r="I56" s="2">
        <v>0</v>
      </c>
      <c r="J56" s="2">
        <v>4.1500000000000002E-2</v>
      </c>
      <c r="K56" s="2">
        <v>0.6</v>
      </c>
      <c r="L56" s="4">
        <v>0.97</v>
      </c>
      <c r="M56" s="15"/>
    </row>
    <row r="57" spans="1:13" hidden="1" x14ac:dyDescent="0.25">
      <c r="A57" s="5">
        <v>45139</v>
      </c>
      <c r="B57" s="1" t="s">
        <v>23</v>
      </c>
      <c r="C57" s="1" t="s">
        <v>22</v>
      </c>
      <c r="D57" s="2">
        <v>6.2600000000000003E-2</v>
      </c>
      <c r="E57" s="3">
        <v>1</v>
      </c>
      <c r="F57" s="2">
        <v>0.12</v>
      </c>
      <c r="G57" s="2">
        <v>0</v>
      </c>
      <c r="H57" s="2">
        <v>0</v>
      </c>
      <c r="I57" s="2">
        <v>0</v>
      </c>
      <c r="J57" s="2">
        <v>2.1499999999999998E-2</v>
      </c>
      <c r="K57" s="2">
        <v>0.24</v>
      </c>
      <c r="L57" s="4">
        <v>0.97</v>
      </c>
      <c r="M57" s="15"/>
    </row>
    <row r="58" spans="1:13" hidden="1" x14ac:dyDescent="0.25">
      <c r="A58" s="5">
        <v>45139</v>
      </c>
      <c r="B58" s="1" t="s">
        <v>26</v>
      </c>
      <c r="C58" s="1" t="s">
        <v>24</v>
      </c>
      <c r="D58" s="2">
        <v>2.4199999999999999E-2</v>
      </c>
      <c r="E58" s="3">
        <v>2.4</v>
      </c>
      <c r="F58" s="2">
        <v>9.9999000000000002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4">
        <v>0.97</v>
      </c>
      <c r="M58" s="15"/>
    </row>
    <row r="59" spans="1:13" hidden="1" x14ac:dyDescent="0.25">
      <c r="A59" s="5">
        <v>45139</v>
      </c>
      <c r="B59" s="1" t="s">
        <v>26</v>
      </c>
      <c r="C59" s="1" t="s">
        <v>25</v>
      </c>
      <c r="D59" s="2">
        <v>5.3699999999999998E-2</v>
      </c>
      <c r="E59" s="3">
        <v>1</v>
      </c>
      <c r="F59" s="2">
        <v>0.10249999999999999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4">
        <v>0.97</v>
      </c>
      <c r="M59" s="15"/>
    </row>
    <row r="60" spans="1:13" hidden="1" x14ac:dyDescent="0.25">
      <c r="A60" s="5">
        <v>45139</v>
      </c>
      <c r="B60" s="1" t="s">
        <v>26</v>
      </c>
      <c r="C60" s="1" t="s">
        <v>13</v>
      </c>
      <c r="D60" s="2">
        <v>5.6599999999999998E-2</v>
      </c>
      <c r="E60" s="3">
        <v>1</v>
      </c>
      <c r="F60" s="2">
        <v>0.10249999999999999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4">
        <v>0.97</v>
      </c>
      <c r="M60" s="15"/>
    </row>
    <row r="61" spans="1:13" hidden="1" x14ac:dyDescent="0.25">
      <c r="A61" s="5">
        <v>45139</v>
      </c>
      <c r="B61" s="1" t="s">
        <v>26</v>
      </c>
      <c r="C61" s="1" t="s">
        <v>17</v>
      </c>
      <c r="D61" s="2">
        <v>3.61E-2</v>
      </c>
      <c r="E61" s="3">
        <v>1</v>
      </c>
      <c r="F61" s="2">
        <v>9.9999000000000002</v>
      </c>
      <c r="G61" s="2">
        <v>0</v>
      </c>
      <c r="H61" s="2">
        <v>0</v>
      </c>
      <c r="I61" s="2">
        <v>0.08</v>
      </c>
      <c r="J61" s="2">
        <v>0</v>
      </c>
      <c r="K61" s="2">
        <v>0</v>
      </c>
      <c r="L61" s="4">
        <v>0.97</v>
      </c>
      <c r="M61" s="15"/>
    </row>
    <row r="62" spans="1:13" hidden="1" x14ac:dyDescent="0.25">
      <c r="A62" s="5">
        <v>45139</v>
      </c>
      <c r="B62" s="1" t="s">
        <v>26</v>
      </c>
      <c r="C62" s="1" t="s">
        <v>21</v>
      </c>
      <c r="D62" s="2">
        <v>6.2600000000000003E-2</v>
      </c>
      <c r="E62" s="3">
        <v>1</v>
      </c>
      <c r="F62" s="2">
        <v>0.12</v>
      </c>
      <c r="G62" s="2">
        <v>0</v>
      </c>
      <c r="H62" s="2">
        <v>0</v>
      </c>
      <c r="I62" s="2">
        <v>0</v>
      </c>
      <c r="J62" s="2">
        <v>4.1500000000000002E-2</v>
      </c>
      <c r="K62" s="2">
        <v>0.6</v>
      </c>
      <c r="L62" s="4">
        <v>0.97</v>
      </c>
      <c r="M62" s="15"/>
    </row>
    <row r="63" spans="1:13" hidden="1" x14ac:dyDescent="0.25">
      <c r="A63" s="5">
        <v>45139</v>
      </c>
      <c r="B63" s="1" t="s">
        <v>26</v>
      </c>
      <c r="C63" s="1" t="s">
        <v>22</v>
      </c>
      <c r="D63" s="2">
        <v>6.2600000000000003E-2</v>
      </c>
      <c r="E63" s="3">
        <v>1</v>
      </c>
      <c r="F63" s="2">
        <v>0.12</v>
      </c>
      <c r="G63" s="2">
        <v>0</v>
      </c>
      <c r="H63" s="2">
        <v>0</v>
      </c>
      <c r="I63" s="2">
        <v>0</v>
      </c>
      <c r="J63" s="2">
        <v>2.1499999999999998E-2</v>
      </c>
      <c r="K63" s="2">
        <v>0.24</v>
      </c>
      <c r="L63" s="4">
        <v>0.97</v>
      </c>
      <c r="M63" s="15"/>
    </row>
    <row r="64" spans="1:13" hidden="1" x14ac:dyDescent="0.25">
      <c r="A64" s="5">
        <v>45139</v>
      </c>
      <c r="B64" s="1" t="s">
        <v>27</v>
      </c>
      <c r="C64" s="1" t="s">
        <v>13</v>
      </c>
      <c r="D64" s="2">
        <v>5.3499999999999999E-2</v>
      </c>
      <c r="E64" s="3">
        <v>1</v>
      </c>
      <c r="F64" s="2">
        <v>9.5000000000000001E-2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4">
        <v>0.97</v>
      </c>
      <c r="M64" s="15"/>
    </row>
    <row r="65" spans="1:13" hidden="1" x14ac:dyDescent="0.25">
      <c r="A65" s="5">
        <v>45139</v>
      </c>
      <c r="B65" s="1" t="s">
        <v>27</v>
      </c>
      <c r="C65" s="1" t="s">
        <v>17</v>
      </c>
      <c r="D65" s="2">
        <v>3.15E-2</v>
      </c>
      <c r="E65" s="3">
        <v>1</v>
      </c>
      <c r="F65" s="2">
        <v>9.9999000000000002</v>
      </c>
      <c r="G65" s="2">
        <v>0</v>
      </c>
      <c r="H65" s="2">
        <v>0</v>
      </c>
      <c r="I65" s="2">
        <v>0.09</v>
      </c>
      <c r="J65" s="2">
        <v>0</v>
      </c>
      <c r="K65" s="2">
        <v>0</v>
      </c>
      <c r="L65" s="4">
        <v>0.97</v>
      </c>
      <c r="M65" s="15"/>
    </row>
    <row r="66" spans="1:13" hidden="1" x14ac:dyDescent="0.25">
      <c r="A66" s="5">
        <v>45139</v>
      </c>
      <c r="B66" s="1" t="s">
        <v>27</v>
      </c>
      <c r="C66" s="1" t="s">
        <v>24</v>
      </c>
      <c r="D66" s="2">
        <v>2.2100000000000002E-2</v>
      </c>
      <c r="E66" s="3">
        <v>2.2000000000000002</v>
      </c>
      <c r="F66" s="2">
        <v>9.9999000000000002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4">
        <v>0.97</v>
      </c>
      <c r="M66" s="15"/>
    </row>
    <row r="67" spans="1:13" hidden="1" x14ac:dyDescent="0.25">
      <c r="A67" s="5">
        <v>45139</v>
      </c>
      <c r="B67" s="1" t="s">
        <v>27</v>
      </c>
      <c r="C67" s="1" t="s">
        <v>25</v>
      </c>
      <c r="D67" s="2">
        <v>5.0500000000000003E-2</v>
      </c>
      <c r="E67" s="3">
        <v>1</v>
      </c>
      <c r="F67" s="2">
        <v>9.5000000000000001E-2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4">
        <v>0.97</v>
      </c>
      <c r="M67" s="15"/>
    </row>
    <row r="68" spans="1:13" hidden="1" x14ac:dyDescent="0.25">
      <c r="A68" s="5">
        <v>45139</v>
      </c>
      <c r="B68" s="1" t="s">
        <v>28</v>
      </c>
      <c r="C68" s="1" t="s">
        <v>13</v>
      </c>
      <c r="D68" s="2">
        <v>4.9099999999999998E-2</v>
      </c>
      <c r="E68" s="3">
        <v>1</v>
      </c>
      <c r="F68" s="2">
        <v>8.5000000000000006E-2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4">
        <v>0.97</v>
      </c>
      <c r="M68" s="15"/>
    </row>
    <row r="69" spans="1:13" hidden="1" x14ac:dyDescent="0.25">
      <c r="A69" s="5">
        <v>45139</v>
      </c>
      <c r="B69" s="1" t="s">
        <v>28</v>
      </c>
      <c r="C69" s="1" t="s">
        <v>16</v>
      </c>
      <c r="D69" s="2">
        <v>2.9399999999999999E-2</v>
      </c>
      <c r="E69" s="3">
        <v>1</v>
      </c>
      <c r="F69" s="2">
        <v>6.5000000000000002E-2</v>
      </c>
      <c r="G69" s="2">
        <v>1.4999999999999999E-2</v>
      </c>
      <c r="H69" s="2">
        <v>0</v>
      </c>
      <c r="I69" s="2">
        <v>0</v>
      </c>
      <c r="J69" s="2">
        <v>0</v>
      </c>
      <c r="K69" s="2">
        <v>0</v>
      </c>
      <c r="L69" s="4">
        <v>0.97</v>
      </c>
      <c r="M69" s="15"/>
    </row>
    <row r="70" spans="1:13" hidden="1" x14ac:dyDescent="0.25">
      <c r="A70" s="5">
        <v>45139</v>
      </c>
      <c r="B70" s="1" t="s">
        <v>28</v>
      </c>
      <c r="C70" s="1" t="s">
        <v>17</v>
      </c>
      <c r="D70" s="2">
        <v>3.73E-2</v>
      </c>
      <c r="E70" s="3">
        <v>1</v>
      </c>
      <c r="F70" s="2">
        <v>9.9999000000000002</v>
      </c>
      <c r="G70" s="2">
        <v>0</v>
      </c>
      <c r="H70" s="2">
        <v>0</v>
      </c>
      <c r="I70" s="2">
        <v>7.7499999999999999E-2</v>
      </c>
      <c r="J70" s="2">
        <v>0</v>
      </c>
      <c r="K70" s="2">
        <v>0</v>
      </c>
      <c r="L70" s="4">
        <v>0.97</v>
      </c>
      <c r="M70" s="15"/>
    </row>
    <row r="71" spans="1:13" hidden="1" x14ac:dyDescent="0.25">
      <c r="A71" s="5">
        <v>45139</v>
      </c>
      <c r="B71" s="1" t="s">
        <v>28</v>
      </c>
      <c r="C71" s="1" t="s">
        <v>18</v>
      </c>
      <c r="D71" s="2">
        <v>5.0599999999999999E-2</v>
      </c>
      <c r="E71" s="3">
        <v>1</v>
      </c>
      <c r="F71" s="2">
        <v>9.9999000000000002</v>
      </c>
      <c r="G71" s="2">
        <v>0</v>
      </c>
      <c r="H71" s="2">
        <v>6.9500000000000006E-2</v>
      </c>
      <c r="I71" s="2">
        <v>0</v>
      </c>
      <c r="J71" s="2">
        <v>0</v>
      </c>
      <c r="K71" s="2">
        <v>0</v>
      </c>
      <c r="L71" s="4">
        <v>0.97</v>
      </c>
      <c r="M71" s="15"/>
    </row>
    <row r="72" spans="1:13" hidden="1" x14ac:dyDescent="0.25">
      <c r="A72" s="5">
        <v>45139</v>
      </c>
      <c r="B72" s="1" t="s">
        <v>29</v>
      </c>
      <c r="C72" s="1" t="s">
        <v>13</v>
      </c>
      <c r="D72" s="2">
        <v>4.4400000000000002E-2</v>
      </c>
      <c r="E72" s="3">
        <v>1</v>
      </c>
      <c r="F72" s="2">
        <v>7.4999999999999997E-2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4">
        <v>0.97</v>
      </c>
      <c r="M72" s="15"/>
    </row>
    <row r="73" spans="1:13" hidden="1" x14ac:dyDescent="0.25">
      <c r="A73" s="5">
        <v>45139</v>
      </c>
      <c r="B73" s="1" t="s">
        <v>29</v>
      </c>
      <c r="C73" s="1" t="s">
        <v>16</v>
      </c>
      <c r="D73" s="2">
        <v>2.1299999999999999E-2</v>
      </c>
      <c r="E73" s="3">
        <v>1</v>
      </c>
      <c r="F73" s="2">
        <v>0.05</v>
      </c>
      <c r="G73" s="2">
        <v>1.4999999999999999E-2</v>
      </c>
      <c r="H73" s="2">
        <v>0</v>
      </c>
      <c r="I73" s="2">
        <v>0</v>
      </c>
      <c r="J73" s="2">
        <v>0</v>
      </c>
      <c r="K73" s="2">
        <v>0</v>
      </c>
      <c r="L73" s="4">
        <v>0.97</v>
      </c>
      <c r="M73" s="15"/>
    </row>
    <row r="74" spans="1:13" hidden="1" x14ac:dyDescent="0.25">
      <c r="A74" s="5">
        <v>45139</v>
      </c>
      <c r="B74" s="1" t="s">
        <v>29</v>
      </c>
      <c r="C74" s="1" t="s">
        <v>17</v>
      </c>
      <c r="D74" s="2">
        <v>3.2199999999999999E-2</v>
      </c>
      <c r="E74" s="3">
        <v>1</v>
      </c>
      <c r="F74" s="2">
        <v>9.9999000000000002</v>
      </c>
      <c r="G74" s="2">
        <v>0</v>
      </c>
      <c r="H74" s="2">
        <v>0</v>
      </c>
      <c r="I74" s="2">
        <v>8.8499999999999995E-2</v>
      </c>
      <c r="J74" s="2">
        <v>0</v>
      </c>
      <c r="K74" s="2">
        <v>0</v>
      </c>
      <c r="L74" s="4">
        <v>0.97</v>
      </c>
      <c r="M74" s="15"/>
    </row>
    <row r="75" spans="1:13" hidden="1" x14ac:dyDescent="0.25">
      <c r="A75" s="5">
        <v>45139</v>
      </c>
      <c r="B75" s="1" t="s">
        <v>29</v>
      </c>
      <c r="C75" s="1" t="s">
        <v>18</v>
      </c>
      <c r="D75" s="2">
        <v>4.3299999999999998E-2</v>
      </c>
      <c r="E75" s="3">
        <v>1</v>
      </c>
      <c r="F75" s="2">
        <v>9.9999000000000002</v>
      </c>
      <c r="G75" s="2">
        <v>0</v>
      </c>
      <c r="H75" s="2">
        <v>5.9499999999999997E-2</v>
      </c>
      <c r="I75" s="2">
        <v>0</v>
      </c>
      <c r="J75" s="2">
        <v>0</v>
      </c>
      <c r="K75" s="2">
        <v>0</v>
      </c>
      <c r="L75" s="4">
        <v>0.97</v>
      </c>
      <c r="M75" s="15"/>
    </row>
    <row r="76" spans="1:13" hidden="1" x14ac:dyDescent="0.25">
      <c r="A76" s="5">
        <v>45170</v>
      </c>
      <c r="B76" s="1" t="s">
        <v>12</v>
      </c>
      <c r="C76" s="1" t="s">
        <v>13</v>
      </c>
      <c r="D76" s="2">
        <v>5.4399999999999997E-2</v>
      </c>
      <c r="E76" s="3">
        <v>1</v>
      </c>
      <c r="F76" s="2">
        <v>0.1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4">
        <v>0.97</v>
      </c>
      <c r="M76" s="15"/>
    </row>
    <row r="77" spans="1:13" hidden="1" x14ac:dyDescent="0.25">
      <c r="A77" s="5">
        <v>45170</v>
      </c>
      <c r="B77" s="1" t="s">
        <v>15</v>
      </c>
      <c r="C77" s="1" t="s">
        <v>13</v>
      </c>
      <c r="D77" s="2">
        <v>5.4399999999999997E-2</v>
      </c>
      <c r="E77" s="3">
        <v>1</v>
      </c>
      <c r="F77" s="2">
        <v>0.1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4">
        <v>0.97</v>
      </c>
      <c r="M77" s="15"/>
    </row>
    <row r="78" spans="1:13" hidden="1" x14ac:dyDescent="0.25">
      <c r="A78" s="5">
        <v>45170</v>
      </c>
      <c r="B78" s="1" t="s">
        <v>15</v>
      </c>
      <c r="C78" s="1" t="s">
        <v>16</v>
      </c>
      <c r="D78" s="2">
        <v>3.9E-2</v>
      </c>
      <c r="E78" s="3">
        <v>1</v>
      </c>
      <c r="F78" s="2">
        <v>8.5000000000000006E-2</v>
      </c>
      <c r="G78" s="2">
        <v>1.4999999999999999E-2</v>
      </c>
      <c r="H78" s="2">
        <v>0</v>
      </c>
      <c r="I78" s="2">
        <v>0</v>
      </c>
      <c r="J78" s="2">
        <v>0</v>
      </c>
      <c r="K78" s="2">
        <v>0</v>
      </c>
      <c r="L78" s="4">
        <v>0.97</v>
      </c>
      <c r="M78" s="15"/>
    </row>
    <row r="79" spans="1:13" hidden="1" x14ac:dyDescent="0.25">
      <c r="A79" s="5">
        <v>45170</v>
      </c>
      <c r="B79" s="1" t="s">
        <v>15</v>
      </c>
      <c r="C79" s="1" t="s">
        <v>17</v>
      </c>
      <c r="D79" s="2">
        <v>4.5100000000000001E-2</v>
      </c>
      <c r="E79" s="3">
        <v>1</v>
      </c>
      <c r="F79" s="2">
        <v>9.9999000000000002</v>
      </c>
      <c r="G79" s="2">
        <v>0</v>
      </c>
      <c r="H79" s="2">
        <v>0</v>
      </c>
      <c r="I79" s="2">
        <v>0.08</v>
      </c>
      <c r="J79" s="2">
        <v>0</v>
      </c>
      <c r="K79" s="2">
        <v>0</v>
      </c>
      <c r="L79" s="4">
        <v>0.97</v>
      </c>
      <c r="M79" s="15"/>
    </row>
    <row r="80" spans="1:13" hidden="1" x14ac:dyDescent="0.25">
      <c r="A80" s="5">
        <v>45170</v>
      </c>
      <c r="B80" s="1" t="s">
        <v>15</v>
      </c>
      <c r="C80" s="1" t="s">
        <v>18</v>
      </c>
      <c r="D80" s="2">
        <v>5.3100000000000001E-2</v>
      </c>
      <c r="E80" s="3">
        <v>1</v>
      </c>
      <c r="F80" s="2">
        <v>9.9999000000000002</v>
      </c>
      <c r="G80" s="2">
        <v>0</v>
      </c>
      <c r="H80" s="2">
        <v>7.4999999999999997E-2</v>
      </c>
      <c r="I80" s="2">
        <v>0</v>
      </c>
      <c r="J80" s="2">
        <v>0</v>
      </c>
      <c r="K80" s="2">
        <v>0</v>
      </c>
      <c r="L80" s="4">
        <v>0.97</v>
      </c>
      <c r="M80" s="15"/>
    </row>
    <row r="81" spans="1:13" hidden="1" x14ac:dyDescent="0.25">
      <c r="A81" s="5">
        <v>45170</v>
      </c>
      <c r="B81" s="1" t="s">
        <v>19</v>
      </c>
      <c r="C81" s="1" t="s">
        <v>13</v>
      </c>
      <c r="D81" s="2">
        <v>4.2500000000000003E-2</v>
      </c>
      <c r="E81" s="3">
        <v>1</v>
      </c>
      <c r="F81" s="2">
        <v>7.4999999999999997E-2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4">
        <v>0.97</v>
      </c>
      <c r="M81" s="15"/>
    </row>
    <row r="82" spans="1:13" hidden="1" x14ac:dyDescent="0.25">
      <c r="A82" s="5">
        <v>45170</v>
      </c>
      <c r="B82" s="1" t="s">
        <v>19</v>
      </c>
      <c r="C82" s="1" t="s">
        <v>16</v>
      </c>
      <c r="D82" s="2">
        <v>2.64E-2</v>
      </c>
      <c r="E82" s="3">
        <v>1</v>
      </c>
      <c r="F82" s="2">
        <v>0.06</v>
      </c>
      <c r="G82" s="2">
        <v>1.4999999999999999E-2</v>
      </c>
      <c r="H82" s="2">
        <v>0</v>
      </c>
      <c r="I82" s="2">
        <v>0</v>
      </c>
      <c r="J82" s="2">
        <v>0</v>
      </c>
      <c r="K82" s="2">
        <v>0</v>
      </c>
      <c r="L82" s="4">
        <v>0.97</v>
      </c>
      <c r="M82" s="15"/>
    </row>
    <row r="83" spans="1:13" hidden="1" x14ac:dyDescent="0.25">
      <c r="A83" s="5">
        <v>45170</v>
      </c>
      <c r="B83" s="1" t="s">
        <v>19</v>
      </c>
      <c r="C83" s="1" t="s">
        <v>17</v>
      </c>
      <c r="D83" s="2">
        <v>3.1800000000000002E-2</v>
      </c>
      <c r="E83" s="3">
        <v>1</v>
      </c>
      <c r="F83" s="2">
        <v>9.9999000000000002</v>
      </c>
      <c r="G83" s="2">
        <v>0</v>
      </c>
      <c r="H83" s="2">
        <v>0</v>
      </c>
      <c r="I83" s="2">
        <v>0.09</v>
      </c>
      <c r="J83" s="2">
        <v>0</v>
      </c>
      <c r="K83" s="2">
        <v>0</v>
      </c>
      <c r="L83" s="4">
        <v>0.97</v>
      </c>
      <c r="M83" s="15"/>
    </row>
    <row r="84" spans="1:13" hidden="1" x14ac:dyDescent="0.25">
      <c r="A84" s="5">
        <v>45170</v>
      </c>
      <c r="B84" s="1" t="s">
        <v>19</v>
      </c>
      <c r="C84" s="1" t="s">
        <v>18</v>
      </c>
      <c r="D84" s="2">
        <v>4.2500000000000003E-2</v>
      </c>
      <c r="E84" s="3">
        <v>1</v>
      </c>
      <c r="F84" s="2">
        <v>9.9999000000000002</v>
      </c>
      <c r="G84" s="2">
        <v>0</v>
      </c>
      <c r="H84" s="2">
        <v>0.06</v>
      </c>
      <c r="I84" s="2">
        <v>0</v>
      </c>
      <c r="J84" s="2">
        <v>0</v>
      </c>
      <c r="K84" s="2">
        <v>0</v>
      </c>
      <c r="L84" s="4">
        <v>0.97</v>
      </c>
      <c r="M84" s="15"/>
    </row>
    <row r="85" spans="1:13" hidden="1" x14ac:dyDescent="0.25">
      <c r="A85" s="5">
        <v>45170</v>
      </c>
      <c r="B85" s="1" t="s">
        <v>20</v>
      </c>
      <c r="C85" s="1" t="s">
        <v>13</v>
      </c>
      <c r="D85" s="2">
        <v>5.4399999999999997E-2</v>
      </c>
      <c r="E85" s="3">
        <v>1</v>
      </c>
      <c r="F85" s="2">
        <v>0.1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4">
        <v>0.97</v>
      </c>
      <c r="M85" s="15"/>
    </row>
    <row r="86" spans="1:13" hidden="1" x14ac:dyDescent="0.25">
      <c r="A86" s="5">
        <v>45170</v>
      </c>
      <c r="B86" s="1" t="s">
        <v>20</v>
      </c>
      <c r="C86" s="1" t="s">
        <v>17</v>
      </c>
      <c r="D86" s="2">
        <v>4.5100000000000001E-2</v>
      </c>
      <c r="E86" s="3">
        <v>1</v>
      </c>
      <c r="F86" s="2">
        <v>9.9999000000000002</v>
      </c>
      <c r="G86" s="2">
        <v>0</v>
      </c>
      <c r="H86" s="2">
        <v>0</v>
      </c>
      <c r="I86" s="2">
        <v>0.08</v>
      </c>
      <c r="J86" s="2">
        <v>0</v>
      </c>
      <c r="K86" s="2">
        <v>0</v>
      </c>
      <c r="L86" s="4">
        <v>0.97</v>
      </c>
      <c r="M86" s="15"/>
    </row>
    <row r="87" spans="1:13" hidden="1" x14ac:dyDescent="0.25">
      <c r="A87" s="5">
        <v>45170</v>
      </c>
      <c r="B87" s="1" t="s">
        <v>20</v>
      </c>
      <c r="C87" s="1" t="s">
        <v>21</v>
      </c>
      <c r="D87" s="2">
        <v>6.3399999999999998E-2</v>
      </c>
      <c r="E87" s="3">
        <v>1</v>
      </c>
      <c r="F87" s="2">
        <v>0.12</v>
      </c>
      <c r="G87" s="2">
        <v>0</v>
      </c>
      <c r="H87" s="2">
        <v>0</v>
      </c>
      <c r="I87" s="2">
        <v>0</v>
      </c>
      <c r="J87" s="2">
        <v>4.1500000000000002E-2</v>
      </c>
      <c r="K87" s="2">
        <v>0.6</v>
      </c>
      <c r="L87" s="4">
        <v>0.97</v>
      </c>
      <c r="M87" s="15"/>
    </row>
    <row r="88" spans="1:13" hidden="1" x14ac:dyDescent="0.25">
      <c r="A88" s="5">
        <v>45170</v>
      </c>
      <c r="B88" s="1" t="s">
        <v>20</v>
      </c>
      <c r="C88" s="1" t="s">
        <v>22</v>
      </c>
      <c r="D88" s="2">
        <v>6.3399999999999998E-2</v>
      </c>
      <c r="E88" s="3">
        <v>1</v>
      </c>
      <c r="F88" s="2">
        <v>0.12</v>
      </c>
      <c r="G88" s="2">
        <v>0</v>
      </c>
      <c r="H88" s="2">
        <v>0</v>
      </c>
      <c r="I88" s="2">
        <v>0</v>
      </c>
      <c r="J88" s="2">
        <v>2.1499999999999998E-2</v>
      </c>
      <c r="K88" s="2">
        <v>0.24</v>
      </c>
      <c r="L88" s="4">
        <v>0.97</v>
      </c>
      <c r="M88" s="15"/>
    </row>
    <row r="89" spans="1:13" hidden="1" x14ac:dyDescent="0.25">
      <c r="A89" s="5">
        <v>45170</v>
      </c>
      <c r="B89" s="1" t="s">
        <v>23</v>
      </c>
      <c r="C89" s="1" t="s">
        <v>24</v>
      </c>
      <c r="D89" s="2">
        <v>2.2200000000000001E-2</v>
      </c>
      <c r="E89" s="3">
        <v>2.4</v>
      </c>
      <c r="F89" s="2">
        <v>9.9999000000000002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4">
        <v>0.97</v>
      </c>
      <c r="M89" s="15"/>
    </row>
    <row r="90" spans="1:13" hidden="1" x14ac:dyDescent="0.25">
      <c r="A90" s="5">
        <v>45170</v>
      </c>
      <c r="B90" s="1" t="s">
        <v>23</v>
      </c>
      <c r="C90" s="1" t="s">
        <v>25</v>
      </c>
      <c r="D90" s="2">
        <v>5.4100000000000002E-2</v>
      </c>
      <c r="E90" s="3">
        <v>1</v>
      </c>
      <c r="F90" s="2">
        <v>0.105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4">
        <v>0.97</v>
      </c>
      <c r="M90" s="15"/>
    </row>
    <row r="91" spans="1:13" hidden="1" x14ac:dyDescent="0.25">
      <c r="A91" s="5">
        <v>45170</v>
      </c>
      <c r="B91" s="1" t="s">
        <v>23</v>
      </c>
      <c r="C91" s="1" t="s">
        <v>13</v>
      </c>
      <c r="D91" s="2">
        <v>5.6500000000000002E-2</v>
      </c>
      <c r="E91" s="3">
        <v>1</v>
      </c>
      <c r="F91" s="2">
        <v>0.105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4">
        <v>0.97</v>
      </c>
      <c r="M91" s="15"/>
    </row>
    <row r="92" spans="1:13" hidden="1" x14ac:dyDescent="0.25">
      <c r="A92" s="5">
        <v>45170</v>
      </c>
      <c r="B92" s="1" t="s">
        <v>23</v>
      </c>
      <c r="C92" s="1" t="s">
        <v>17</v>
      </c>
      <c r="D92" s="2">
        <v>4.5100000000000001E-2</v>
      </c>
      <c r="E92" s="3">
        <v>1</v>
      </c>
      <c r="F92" s="2">
        <v>9.9999000000000002</v>
      </c>
      <c r="G92" s="2">
        <v>0</v>
      </c>
      <c r="H92" s="2">
        <v>0</v>
      </c>
      <c r="I92" s="2">
        <v>0.08</v>
      </c>
      <c r="J92" s="2">
        <v>0</v>
      </c>
      <c r="K92" s="2">
        <v>0</v>
      </c>
      <c r="L92" s="4">
        <v>0.97</v>
      </c>
      <c r="M92" s="15"/>
    </row>
    <row r="93" spans="1:13" hidden="1" x14ac:dyDescent="0.25">
      <c r="A93" s="5">
        <v>45170</v>
      </c>
      <c r="B93" s="1" t="s">
        <v>23</v>
      </c>
      <c r="C93" s="1" t="s">
        <v>21</v>
      </c>
      <c r="D93" s="2">
        <v>6.3399999999999998E-2</v>
      </c>
      <c r="E93" s="3">
        <v>1</v>
      </c>
      <c r="F93" s="2">
        <v>0.12</v>
      </c>
      <c r="G93" s="2">
        <v>0</v>
      </c>
      <c r="H93" s="2">
        <v>0</v>
      </c>
      <c r="I93" s="2">
        <v>0</v>
      </c>
      <c r="J93" s="2">
        <v>4.1500000000000002E-2</v>
      </c>
      <c r="K93" s="2">
        <v>0.6</v>
      </c>
      <c r="L93" s="4">
        <v>0.97</v>
      </c>
      <c r="M93" s="15"/>
    </row>
    <row r="94" spans="1:13" hidden="1" x14ac:dyDescent="0.25">
      <c r="A94" s="5">
        <v>45170</v>
      </c>
      <c r="B94" s="1" t="s">
        <v>23</v>
      </c>
      <c r="C94" s="1" t="s">
        <v>22</v>
      </c>
      <c r="D94" s="2">
        <v>6.3399999999999998E-2</v>
      </c>
      <c r="E94" s="3">
        <v>1</v>
      </c>
      <c r="F94" s="2">
        <v>0.12</v>
      </c>
      <c r="G94" s="2">
        <v>0</v>
      </c>
      <c r="H94" s="2">
        <v>0</v>
      </c>
      <c r="I94" s="2">
        <v>0</v>
      </c>
      <c r="J94" s="2">
        <v>2.1499999999999998E-2</v>
      </c>
      <c r="K94" s="2">
        <v>0.24</v>
      </c>
      <c r="L94" s="4">
        <v>0.97</v>
      </c>
      <c r="M94" s="15"/>
    </row>
    <row r="95" spans="1:13" hidden="1" x14ac:dyDescent="0.25">
      <c r="A95" s="5">
        <v>45170</v>
      </c>
      <c r="B95" s="1" t="s">
        <v>26</v>
      </c>
      <c r="C95" s="1" t="s">
        <v>24</v>
      </c>
      <c r="D95" s="2">
        <v>2.2200000000000001E-2</v>
      </c>
      <c r="E95" s="3">
        <v>2.4</v>
      </c>
      <c r="F95" s="2">
        <v>9.9999000000000002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4">
        <v>0.97</v>
      </c>
      <c r="M95" s="15"/>
    </row>
    <row r="96" spans="1:13" hidden="1" x14ac:dyDescent="0.25">
      <c r="A96" s="5">
        <v>45170</v>
      </c>
      <c r="B96" s="1" t="s">
        <v>26</v>
      </c>
      <c r="C96" s="1" t="s">
        <v>25</v>
      </c>
      <c r="D96" s="2">
        <v>5.3100000000000001E-2</v>
      </c>
      <c r="E96" s="3">
        <v>1</v>
      </c>
      <c r="F96" s="2">
        <v>0.10249999999999999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4">
        <v>0.97</v>
      </c>
      <c r="M96" s="15"/>
    </row>
    <row r="97" spans="1:13" hidden="1" x14ac:dyDescent="0.25">
      <c r="A97" s="5">
        <v>45170</v>
      </c>
      <c r="B97" s="1" t="s">
        <v>26</v>
      </c>
      <c r="C97" s="1" t="s">
        <v>13</v>
      </c>
      <c r="D97" s="2">
        <v>5.5500000000000001E-2</v>
      </c>
      <c r="E97" s="3">
        <v>1</v>
      </c>
      <c r="F97" s="2">
        <v>0.10249999999999999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4">
        <v>0.97</v>
      </c>
      <c r="M97" s="15"/>
    </row>
    <row r="98" spans="1:13" hidden="1" x14ac:dyDescent="0.25">
      <c r="A98" s="5">
        <v>45170</v>
      </c>
      <c r="B98" s="1" t="s">
        <v>26</v>
      </c>
      <c r="C98" s="1" t="s">
        <v>17</v>
      </c>
      <c r="D98" s="2">
        <v>4.5100000000000001E-2</v>
      </c>
      <c r="E98" s="3">
        <v>1</v>
      </c>
      <c r="F98" s="2">
        <v>9.9999000000000002</v>
      </c>
      <c r="G98" s="2">
        <v>0</v>
      </c>
      <c r="H98" s="2">
        <v>0</v>
      </c>
      <c r="I98" s="2">
        <v>0.08</v>
      </c>
      <c r="J98" s="2">
        <v>0</v>
      </c>
      <c r="K98" s="2">
        <v>0</v>
      </c>
      <c r="L98" s="4">
        <v>0.97</v>
      </c>
      <c r="M98" s="15"/>
    </row>
    <row r="99" spans="1:13" hidden="1" x14ac:dyDescent="0.25">
      <c r="A99" s="5">
        <v>45170</v>
      </c>
      <c r="B99" s="1" t="s">
        <v>26</v>
      </c>
      <c r="C99" s="1" t="s">
        <v>21</v>
      </c>
      <c r="D99" s="2">
        <v>6.3399999999999998E-2</v>
      </c>
      <c r="E99" s="3">
        <v>1</v>
      </c>
      <c r="F99" s="2">
        <v>0.12</v>
      </c>
      <c r="G99" s="2">
        <v>0</v>
      </c>
      <c r="H99" s="2">
        <v>0</v>
      </c>
      <c r="I99" s="2">
        <v>0</v>
      </c>
      <c r="J99" s="2">
        <v>4.1500000000000002E-2</v>
      </c>
      <c r="K99" s="2">
        <v>0.6</v>
      </c>
      <c r="L99" s="4">
        <v>0.97</v>
      </c>
      <c r="M99" s="15"/>
    </row>
    <row r="100" spans="1:13" hidden="1" x14ac:dyDescent="0.25">
      <c r="A100" s="5">
        <v>45170</v>
      </c>
      <c r="B100" s="1" t="s">
        <v>26</v>
      </c>
      <c r="C100" s="1" t="s">
        <v>22</v>
      </c>
      <c r="D100" s="2">
        <v>6.3399999999999998E-2</v>
      </c>
      <c r="E100" s="3">
        <v>1</v>
      </c>
      <c r="F100" s="2">
        <v>0.12</v>
      </c>
      <c r="G100" s="2">
        <v>0</v>
      </c>
      <c r="H100" s="2">
        <v>0</v>
      </c>
      <c r="I100" s="2">
        <v>0</v>
      </c>
      <c r="J100" s="2">
        <v>2.1499999999999998E-2</v>
      </c>
      <c r="K100" s="2">
        <v>0.24</v>
      </c>
      <c r="L100" s="4">
        <v>0.97</v>
      </c>
      <c r="M100" s="15"/>
    </row>
    <row r="101" spans="1:13" hidden="1" x14ac:dyDescent="0.25">
      <c r="A101" s="5">
        <v>45170</v>
      </c>
      <c r="B101" s="1" t="s">
        <v>27</v>
      </c>
      <c r="C101" s="1" t="s">
        <v>13</v>
      </c>
      <c r="D101" s="2">
        <v>5.21E-2</v>
      </c>
      <c r="E101" s="3">
        <v>1</v>
      </c>
      <c r="F101" s="2">
        <v>9.5000000000000001E-2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4">
        <v>0.97</v>
      </c>
      <c r="M101" s="15"/>
    </row>
    <row r="102" spans="1:13" hidden="1" x14ac:dyDescent="0.25">
      <c r="A102" s="5">
        <v>45170</v>
      </c>
      <c r="B102" s="1" t="s">
        <v>27</v>
      </c>
      <c r="C102" s="1" t="s">
        <v>17</v>
      </c>
      <c r="D102" s="2">
        <v>4.0300000000000002E-2</v>
      </c>
      <c r="E102" s="3">
        <v>1</v>
      </c>
      <c r="F102" s="2">
        <v>9.9999000000000002</v>
      </c>
      <c r="G102" s="2">
        <v>0</v>
      </c>
      <c r="H102" s="2">
        <v>0</v>
      </c>
      <c r="I102" s="2">
        <v>0.09</v>
      </c>
      <c r="J102" s="2">
        <v>0</v>
      </c>
      <c r="K102" s="2">
        <v>0</v>
      </c>
      <c r="L102" s="4">
        <v>0.97</v>
      </c>
      <c r="M102" s="15"/>
    </row>
    <row r="103" spans="1:13" hidden="1" x14ac:dyDescent="0.25">
      <c r="A103" s="5">
        <v>45170</v>
      </c>
      <c r="B103" s="1" t="s">
        <v>27</v>
      </c>
      <c r="C103" s="1" t="s">
        <v>24</v>
      </c>
      <c r="D103" s="2">
        <v>2.2200000000000001E-2</v>
      </c>
      <c r="E103" s="3">
        <v>2.2000000000000002</v>
      </c>
      <c r="F103" s="2">
        <v>9.9999000000000002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4">
        <v>0.97</v>
      </c>
      <c r="M103" s="15"/>
    </row>
    <row r="104" spans="1:13" hidden="1" x14ac:dyDescent="0.25">
      <c r="A104" s="5">
        <v>45170</v>
      </c>
      <c r="B104" s="1" t="s">
        <v>27</v>
      </c>
      <c r="C104" s="1" t="s">
        <v>25</v>
      </c>
      <c r="D104" s="2">
        <v>4.9700000000000001E-2</v>
      </c>
      <c r="E104" s="3">
        <v>1</v>
      </c>
      <c r="F104" s="2">
        <v>9.5000000000000001E-2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4">
        <v>0.97</v>
      </c>
      <c r="M104" s="15"/>
    </row>
    <row r="105" spans="1:13" hidden="1" x14ac:dyDescent="0.25">
      <c r="A105" s="5">
        <v>45170</v>
      </c>
      <c r="B105" s="1" t="s">
        <v>28</v>
      </c>
      <c r="C105" s="1" t="s">
        <v>13</v>
      </c>
      <c r="D105" s="2">
        <v>4.8599999999999997E-2</v>
      </c>
      <c r="E105" s="3">
        <v>1</v>
      </c>
      <c r="F105" s="2">
        <v>8.5000000000000006E-2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4">
        <v>0.97</v>
      </c>
      <c r="M105" s="15"/>
    </row>
    <row r="106" spans="1:13" hidden="1" x14ac:dyDescent="0.25">
      <c r="A106" s="5">
        <v>45170</v>
      </c>
      <c r="B106" s="1" t="s">
        <v>28</v>
      </c>
      <c r="C106" s="1" t="s">
        <v>16</v>
      </c>
      <c r="D106" s="2">
        <v>3.1600000000000003E-2</v>
      </c>
      <c r="E106" s="3">
        <v>1</v>
      </c>
      <c r="F106" s="2">
        <v>7.0000000000000007E-2</v>
      </c>
      <c r="G106" s="2">
        <v>1.4999999999999999E-2</v>
      </c>
      <c r="H106" s="2">
        <v>0</v>
      </c>
      <c r="I106" s="2">
        <v>0</v>
      </c>
      <c r="J106" s="2">
        <v>0</v>
      </c>
      <c r="K106" s="2">
        <v>0</v>
      </c>
      <c r="L106" s="4">
        <v>0.97</v>
      </c>
      <c r="M106" s="15"/>
    </row>
    <row r="107" spans="1:13" hidden="1" x14ac:dyDescent="0.25">
      <c r="A107" s="5">
        <v>45170</v>
      </c>
      <c r="B107" s="1" t="s">
        <v>28</v>
      </c>
      <c r="C107" s="1" t="s">
        <v>17</v>
      </c>
      <c r="D107" s="2">
        <v>4.6300000000000001E-2</v>
      </c>
      <c r="E107" s="3">
        <v>1</v>
      </c>
      <c r="F107" s="2">
        <v>9.9999000000000002</v>
      </c>
      <c r="G107" s="2">
        <v>0</v>
      </c>
      <c r="H107" s="2">
        <v>0</v>
      </c>
      <c r="I107" s="2">
        <v>7.7499999999999999E-2</v>
      </c>
      <c r="J107" s="2">
        <v>0</v>
      </c>
      <c r="K107" s="2">
        <v>0</v>
      </c>
      <c r="L107" s="4">
        <v>0.97</v>
      </c>
      <c r="M107" s="15"/>
    </row>
    <row r="108" spans="1:13" hidden="1" x14ac:dyDescent="0.25">
      <c r="A108" s="5">
        <v>45170</v>
      </c>
      <c r="B108" s="1" t="s">
        <v>28</v>
      </c>
      <c r="C108" s="1" t="s">
        <v>18</v>
      </c>
      <c r="D108" s="2">
        <v>4.5999999999999999E-2</v>
      </c>
      <c r="E108" s="3">
        <v>1</v>
      </c>
      <c r="F108" s="2">
        <v>9.9999000000000002</v>
      </c>
      <c r="G108" s="2">
        <v>0</v>
      </c>
      <c r="H108" s="2">
        <v>6.5000000000000002E-2</v>
      </c>
      <c r="I108" s="2">
        <v>0</v>
      </c>
      <c r="J108" s="2">
        <v>0</v>
      </c>
      <c r="K108" s="2">
        <v>0</v>
      </c>
      <c r="L108" s="4">
        <v>0.97</v>
      </c>
      <c r="M108" s="15"/>
    </row>
    <row r="109" spans="1:13" hidden="1" x14ac:dyDescent="0.25">
      <c r="A109" s="5">
        <v>45170</v>
      </c>
      <c r="B109" s="1" t="s">
        <v>29</v>
      </c>
      <c r="C109" s="1" t="s">
        <v>13</v>
      </c>
      <c r="D109" s="2">
        <v>4.4999999999999998E-2</v>
      </c>
      <c r="E109" s="3">
        <v>1</v>
      </c>
      <c r="F109" s="2">
        <v>7.7499999999999999E-2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4">
        <v>0.97</v>
      </c>
      <c r="M109" s="15"/>
    </row>
    <row r="110" spans="1:13" hidden="1" x14ac:dyDescent="0.25">
      <c r="A110" s="5">
        <v>45170</v>
      </c>
      <c r="B110" s="1" t="s">
        <v>29</v>
      </c>
      <c r="C110" s="1" t="s">
        <v>16</v>
      </c>
      <c r="D110" s="2">
        <v>2.5000000000000001E-2</v>
      </c>
      <c r="E110" s="3">
        <v>1</v>
      </c>
      <c r="F110" s="2">
        <v>5.7500000000000002E-2</v>
      </c>
      <c r="G110" s="2">
        <v>1.4999999999999999E-2</v>
      </c>
      <c r="H110" s="2">
        <v>0</v>
      </c>
      <c r="I110" s="2">
        <v>0</v>
      </c>
      <c r="J110" s="2">
        <v>0</v>
      </c>
      <c r="K110" s="2">
        <v>0</v>
      </c>
      <c r="L110" s="4">
        <v>0.97</v>
      </c>
      <c r="M110" s="15"/>
    </row>
    <row r="111" spans="1:13" hidden="1" x14ac:dyDescent="0.25">
      <c r="A111" s="5">
        <v>45170</v>
      </c>
      <c r="B111" s="1" t="s">
        <v>29</v>
      </c>
      <c r="C111" s="1" t="s">
        <v>17</v>
      </c>
      <c r="D111" s="2">
        <v>4.1700000000000001E-2</v>
      </c>
      <c r="E111" s="3">
        <v>1</v>
      </c>
      <c r="F111" s="2">
        <v>9.9999000000000002</v>
      </c>
      <c r="G111" s="2">
        <v>0</v>
      </c>
      <c r="H111" s="2">
        <v>0</v>
      </c>
      <c r="I111" s="2">
        <v>8.6999999999999994E-2</v>
      </c>
      <c r="J111" s="2">
        <v>0</v>
      </c>
      <c r="K111" s="2">
        <v>0</v>
      </c>
      <c r="L111" s="4">
        <v>0.97</v>
      </c>
      <c r="M111" s="15"/>
    </row>
    <row r="112" spans="1:13" hidden="1" x14ac:dyDescent="0.25">
      <c r="A112" s="5">
        <v>45170</v>
      </c>
      <c r="B112" s="1" t="s">
        <v>29</v>
      </c>
      <c r="C112" s="1" t="s">
        <v>18</v>
      </c>
      <c r="D112" s="2">
        <v>4.0399999999999998E-2</v>
      </c>
      <c r="E112" s="3">
        <v>1</v>
      </c>
      <c r="F112" s="2">
        <v>9.9999000000000002</v>
      </c>
      <c r="G112" s="2">
        <v>0</v>
      </c>
      <c r="H112" s="2">
        <v>5.7000000000000002E-2</v>
      </c>
      <c r="I112" s="2">
        <v>0</v>
      </c>
      <c r="J112" s="2">
        <v>0</v>
      </c>
      <c r="K112" s="2">
        <v>0</v>
      </c>
      <c r="L112" s="4">
        <v>0.97</v>
      </c>
      <c r="M112" s="15"/>
    </row>
    <row r="113" spans="1:13" hidden="1" x14ac:dyDescent="0.25">
      <c r="A113" s="5">
        <v>45201</v>
      </c>
      <c r="B113" s="1" t="s">
        <v>12</v>
      </c>
      <c r="C113" s="1" t="s">
        <v>13</v>
      </c>
      <c r="D113" s="2">
        <v>5.4100000000000002E-2</v>
      </c>
      <c r="E113" s="3">
        <v>1</v>
      </c>
      <c r="F113" s="2">
        <v>9.7500000000000003E-2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4">
        <v>0.97</v>
      </c>
      <c r="M113" s="15"/>
    </row>
    <row r="114" spans="1:13" hidden="1" x14ac:dyDescent="0.25">
      <c r="A114" s="5">
        <v>45201</v>
      </c>
      <c r="B114" s="1" t="s">
        <v>15</v>
      </c>
      <c r="C114" s="1" t="s">
        <v>13</v>
      </c>
      <c r="D114" s="2">
        <v>5.4100000000000002E-2</v>
      </c>
      <c r="E114" s="3">
        <v>1</v>
      </c>
      <c r="F114" s="2">
        <v>9.7500000000000003E-2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4">
        <v>0.97</v>
      </c>
      <c r="M114" s="15"/>
    </row>
    <row r="115" spans="1:13" hidden="1" x14ac:dyDescent="0.25">
      <c r="A115" s="5">
        <v>45201</v>
      </c>
      <c r="B115" s="1" t="s">
        <v>15</v>
      </c>
      <c r="C115" s="1" t="s">
        <v>16</v>
      </c>
      <c r="D115" s="2">
        <v>3.8800000000000001E-2</v>
      </c>
      <c r="E115" s="3">
        <v>1</v>
      </c>
      <c r="F115" s="2">
        <v>8.5000000000000006E-2</v>
      </c>
      <c r="G115" s="2">
        <v>1.4999999999999999E-2</v>
      </c>
      <c r="H115" s="2">
        <v>0</v>
      </c>
      <c r="I115" s="2">
        <v>0</v>
      </c>
      <c r="J115" s="2">
        <v>0</v>
      </c>
      <c r="K115" s="2">
        <v>0</v>
      </c>
      <c r="L115" s="4">
        <v>0.97</v>
      </c>
      <c r="M115" s="15"/>
    </row>
    <row r="116" spans="1:13" hidden="1" x14ac:dyDescent="0.25">
      <c r="A116" s="5">
        <v>45201</v>
      </c>
      <c r="B116" s="1" t="s">
        <v>15</v>
      </c>
      <c r="C116" s="1" t="s">
        <v>17</v>
      </c>
      <c r="D116" s="2">
        <v>4.0899999999999999E-2</v>
      </c>
      <c r="E116" s="3">
        <v>1</v>
      </c>
      <c r="F116" s="2">
        <v>9.9999000000000002</v>
      </c>
      <c r="G116" s="2">
        <v>0</v>
      </c>
      <c r="H116" s="2">
        <v>0</v>
      </c>
      <c r="I116" s="2">
        <v>0.08</v>
      </c>
      <c r="J116" s="2">
        <v>0</v>
      </c>
      <c r="K116" s="2">
        <v>0</v>
      </c>
      <c r="L116" s="4">
        <v>0.97</v>
      </c>
      <c r="M116" s="15"/>
    </row>
    <row r="117" spans="1:13" hidden="1" x14ac:dyDescent="0.25">
      <c r="A117" s="5">
        <v>45201</v>
      </c>
      <c r="B117" s="1" t="s">
        <v>15</v>
      </c>
      <c r="C117" s="1" t="s">
        <v>18</v>
      </c>
      <c r="D117" s="2">
        <v>5.4100000000000002E-2</v>
      </c>
      <c r="E117" s="3">
        <v>1</v>
      </c>
      <c r="F117" s="2">
        <v>9.9999000000000002</v>
      </c>
      <c r="G117" s="2">
        <v>0</v>
      </c>
      <c r="H117" s="2">
        <v>7.4999999999999997E-2</v>
      </c>
      <c r="I117" s="2">
        <v>0</v>
      </c>
      <c r="J117" s="2">
        <v>0</v>
      </c>
      <c r="K117" s="2">
        <v>0</v>
      </c>
      <c r="L117" s="4">
        <v>0.97</v>
      </c>
      <c r="M117" s="15"/>
    </row>
    <row r="118" spans="1:13" hidden="1" x14ac:dyDescent="0.25">
      <c r="A118" s="5">
        <v>45201</v>
      </c>
      <c r="B118" s="1" t="s">
        <v>19</v>
      </c>
      <c r="C118" s="1" t="s">
        <v>13</v>
      </c>
      <c r="D118" s="2">
        <v>4.2500000000000003E-2</v>
      </c>
      <c r="E118" s="3">
        <v>1</v>
      </c>
      <c r="F118" s="2">
        <v>7.2499999999999995E-2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4">
        <v>0.97</v>
      </c>
      <c r="M118" s="15"/>
    </row>
    <row r="119" spans="1:13" hidden="1" x14ac:dyDescent="0.25">
      <c r="A119" s="5">
        <v>45201</v>
      </c>
      <c r="B119" s="1" t="s">
        <v>19</v>
      </c>
      <c r="C119" s="1" t="s">
        <v>16</v>
      </c>
      <c r="D119" s="2">
        <v>2.63E-2</v>
      </c>
      <c r="E119" s="3">
        <v>1</v>
      </c>
      <c r="F119" s="2">
        <v>0.06</v>
      </c>
      <c r="G119" s="2">
        <v>1.4999999999999999E-2</v>
      </c>
      <c r="H119" s="2">
        <v>0</v>
      </c>
      <c r="I119" s="2">
        <v>0</v>
      </c>
      <c r="J119" s="2">
        <v>0</v>
      </c>
      <c r="K119" s="2">
        <v>0</v>
      </c>
      <c r="L119" s="4">
        <v>0.97</v>
      </c>
      <c r="M119" s="15"/>
    </row>
    <row r="120" spans="1:13" hidden="1" x14ac:dyDescent="0.25">
      <c r="A120" s="5">
        <v>45201</v>
      </c>
      <c r="B120" s="1" t="s">
        <v>19</v>
      </c>
      <c r="C120" s="1" t="s">
        <v>17</v>
      </c>
      <c r="D120" s="2">
        <v>3.6200000000000003E-2</v>
      </c>
      <c r="E120" s="3">
        <v>1</v>
      </c>
      <c r="F120" s="2">
        <v>9.9999000000000002</v>
      </c>
      <c r="G120" s="2">
        <v>0</v>
      </c>
      <c r="H120" s="2">
        <v>0</v>
      </c>
      <c r="I120" s="2">
        <v>0.09</v>
      </c>
      <c r="J120" s="2">
        <v>0</v>
      </c>
      <c r="K120" s="2">
        <v>0</v>
      </c>
      <c r="L120" s="4">
        <v>0.97</v>
      </c>
      <c r="M120" s="15"/>
    </row>
    <row r="121" spans="1:13" hidden="1" x14ac:dyDescent="0.25">
      <c r="A121" s="5">
        <v>45201</v>
      </c>
      <c r="B121" s="1" t="s">
        <v>19</v>
      </c>
      <c r="C121" s="1" t="s">
        <v>18</v>
      </c>
      <c r="D121" s="2">
        <v>4.3299999999999998E-2</v>
      </c>
      <c r="E121" s="3">
        <v>1</v>
      </c>
      <c r="F121" s="2">
        <v>9.9999000000000002</v>
      </c>
      <c r="G121" s="2">
        <v>0</v>
      </c>
      <c r="H121" s="2">
        <v>0.06</v>
      </c>
      <c r="I121" s="2">
        <v>0</v>
      </c>
      <c r="J121" s="2">
        <v>0</v>
      </c>
      <c r="K121" s="2">
        <v>0</v>
      </c>
      <c r="L121" s="4">
        <v>0.97</v>
      </c>
      <c r="M121" s="15"/>
    </row>
    <row r="122" spans="1:13" hidden="1" x14ac:dyDescent="0.25">
      <c r="A122" s="5">
        <v>45201</v>
      </c>
      <c r="B122" s="1" t="s">
        <v>20</v>
      </c>
      <c r="C122" s="1" t="s">
        <v>13</v>
      </c>
      <c r="D122" s="2">
        <v>5.4100000000000002E-2</v>
      </c>
      <c r="E122" s="3">
        <v>1</v>
      </c>
      <c r="F122" s="2">
        <v>9.7500000000000003E-2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4">
        <v>0.97</v>
      </c>
      <c r="M122" s="15"/>
    </row>
    <row r="123" spans="1:13" hidden="1" x14ac:dyDescent="0.25">
      <c r="A123" s="5">
        <v>45201</v>
      </c>
      <c r="B123" s="1" t="s">
        <v>20</v>
      </c>
      <c r="C123" s="1" t="s">
        <v>17</v>
      </c>
      <c r="D123" s="2">
        <v>4.0899999999999999E-2</v>
      </c>
      <c r="E123" s="3">
        <v>1</v>
      </c>
      <c r="F123" s="2">
        <v>9.9999000000000002</v>
      </c>
      <c r="G123" s="2">
        <v>0</v>
      </c>
      <c r="H123" s="2">
        <v>0</v>
      </c>
      <c r="I123" s="2">
        <v>0.08</v>
      </c>
      <c r="J123" s="2">
        <v>0</v>
      </c>
      <c r="K123" s="2">
        <v>0</v>
      </c>
      <c r="L123" s="4">
        <v>0.97</v>
      </c>
      <c r="M123" s="15"/>
    </row>
    <row r="124" spans="1:13" hidden="1" x14ac:dyDescent="0.25">
      <c r="A124" s="5">
        <v>45201</v>
      </c>
      <c r="B124" s="1" t="s">
        <v>20</v>
      </c>
      <c r="C124" s="1" t="s">
        <v>21</v>
      </c>
      <c r="D124" s="2">
        <v>6.2600000000000003E-2</v>
      </c>
      <c r="E124" s="3">
        <v>1</v>
      </c>
      <c r="F124" s="2">
        <v>0.12</v>
      </c>
      <c r="G124" s="2">
        <v>0</v>
      </c>
      <c r="H124" s="2">
        <v>0</v>
      </c>
      <c r="I124" s="2">
        <v>0</v>
      </c>
      <c r="J124" s="2">
        <v>4.1500000000000002E-2</v>
      </c>
      <c r="K124" s="2">
        <v>0.6</v>
      </c>
      <c r="L124" s="4">
        <v>0.97</v>
      </c>
      <c r="M124" s="15"/>
    </row>
    <row r="125" spans="1:13" hidden="1" x14ac:dyDescent="0.25">
      <c r="A125" s="5">
        <v>45201</v>
      </c>
      <c r="B125" s="1" t="s">
        <v>20</v>
      </c>
      <c r="C125" s="1" t="s">
        <v>22</v>
      </c>
      <c r="D125" s="2">
        <v>6.2600000000000003E-2</v>
      </c>
      <c r="E125" s="3">
        <v>1</v>
      </c>
      <c r="F125" s="2">
        <v>0.12</v>
      </c>
      <c r="G125" s="2">
        <v>0</v>
      </c>
      <c r="H125" s="2">
        <v>0</v>
      </c>
      <c r="I125" s="2">
        <v>0</v>
      </c>
      <c r="J125" s="2">
        <v>2.1499999999999998E-2</v>
      </c>
      <c r="K125" s="2">
        <v>0.24</v>
      </c>
      <c r="L125" s="4">
        <v>0.97</v>
      </c>
      <c r="M125" s="15"/>
    </row>
    <row r="126" spans="1:13" hidden="1" x14ac:dyDescent="0.25">
      <c r="A126" s="5">
        <v>45201</v>
      </c>
      <c r="B126" s="1" t="s">
        <v>23</v>
      </c>
      <c r="C126" s="1" t="s">
        <v>24</v>
      </c>
      <c r="D126" s="2">
        <v>2.23E-2</v>
      </c>
      <c r="E126" s="3">
        <v>2.4</v>
      </c>
      <c r="F126" s="2">
        <v>9.9999000000000002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4">
        <v>0.97</v>
      </c>
      <c r="M126" s="15"/>
    </row>
    <row r="127" spans="1:13" hidden="1" x14ac:dyDescent="0.25">
      <c r="A127" s="5">
        <v>45201</v>
      </c>
      <c r="B127" s="1" t="s">
        <v>23</v>
      </c>
      <c r="C127" s="1" t="s">
        <v>25</v>
      </c>
      <c r="D127" s="2">
        <v>5.3800000000000001E-2</v>
      </c>
      <c r="E127" s="3">
        <v>1</v>
      </c>
      <c r="F127" s="2">
        <v>0.10249999999999999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4">
        <v>0.97</v>
      </c>
      <c r="M127" s="15"/>
    </row>
    <row r="128" spans="1:13" hidden="1" x14ac:dyDescent="0.25">
      <c r="A128" s="5">
        <v>45201</v>
      </c>
      <c r="B128" s="1" t="s">
        <v>23</v>
      </c>
      <c r="C128" s="1" t="s">
        <v>13</v>
      </c>
      <c r="D128" s="2">
        <v>5.6099999999999997E-2</v>
      </c>
      <c r="E128" s="3">
        <v>1</v>
      </c>
      <c r="F128" s="2">
        <v>0.10249999999999999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4">
        <v>0.97</v>
      </c>
      <c r="M128" s="15"/>
    </row>
    <row r="129" spans="1:13" hidden="1" x14ac:dyDescent="0.25">
      <c r="A129" s="5">
        <v>45201</v>
      </c>
      <c r="B129" s="1" t="s">
        <v>23</v>
      </c>
      <c r="C129" s="1" t="s">
        <v>17</v>
      </c>
      <c r="D129" s="2">
        <v>4.0899999999999999E-2</v>
      </c>
      <c r="E129" s="3">
        <v>1</v>
      </c>
      <c r="F129" s="2">
        <v>9.9999000000000002</v>
      </c>
      <c r="G129" s="2">
        <v>0</v>
      </c>
      <c r="H129" s="2">
        <v>0</v>
      </c>
      <c r="I129" s="2">
        <v>0.08</v>
      </c>
      <c r="J129" s="2">
        <v>0</v>
      </c>
      <c r="K129" s="2">
        <v>0</v>
      </c>
      <c r="L129" s="4">
        <v>0.97</v>
      </c>
      <c r="M129" s="15"/>
    </row>
    <row r="130" spans="1:13" hidden="1" x14ac:dyDescent="0.25">
      <c r="A130" s="5">
        <v>45201</v>
      </c>
      <c r="B130" s="1" t="s">
        <v>23</v>
      </c>
      <c r="C130" s="1" t="s">
        <v>21</v>
      </c>
      <c r="D130" s="2">
        <v>6.2600000000000003E-2</v>
      </c>
      <c r="E130" s="3">
        <v>1</v>
      </c>
      <c r="F130" s="2">
        <v>0.12</v>
      </c>
      <c r="G130" s="2">
        <v>0</v>
      </c>
      <c r="H130" s="2">
        <v>0</v>
      </c>
      <c r="I130" s="2">
        <v>0</v>
      </c>
      <c r="J130" s="2">
        <v>4.1500000000000002E-2</v>
      </c>
      <c r="K130" s="2">
        <v>0.6</v>
      </c>
      <c r="L130" s="4">
        <v>0.97</v>
      </c>
      <c r="M130" s="15"/>
    </row>
    <row r="131" spans="1:13" hidden="1" x14ac:dyDescent="0.25">
      <c r="A131" s="5">
        <v>45201</v>
      </c>
      <c r="B131" s="1" t="s">
        <v>23</v>
      </c>
      <c r="C131" s="1" t="s">
        <v>22</v>
      </c>
      <c r="D131" s="2">
        <v>6.2600000000000003E-2</v>
      </c>
      <c r="E131" s="3">
        <v>1</v>
      </c>
      <c r="F131" s="2">
        <v>0.12</v>
      </c>
      <c r="G131" s="2">
        <v>0</v>
      </c>
      <c r="H131" s="2">
        <v>0</v>
      </c>
      <c r="I131" s="2">
        <v>0</v>
      </c>
      <c r="J131" s="2">
        <v>2.1499999999999998E-2</v>
      </c>
      <c r="K131" s="2">
        <v>0.24</v>
      </c>
      <c r="L131" s="4">
        <v>0.97</v>
      </c>
      <c r="M131" s="15"/>
    </row>
    <row r="132" spans="1:13" hidden="1" x14ac:dyDescent="0.25">
      <c r="A132" s="5">
        <v>45201</v>
      </c>
      <c r="B132" s="1" t="s">
        <v>26</v>
      </c>
      <c r="C132" s="1" t="s">
        <v>24</v>
      </c>
      <c r="D132" s="2">
        <v>2.23E-2</v>
      </c>
      <c r="E132" s="3">
        <v>2.4</v>
      </c>
      <c r="F132" s="2">
        <v>9.9999000000000002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4">
        <v>0.97</v>
      </c>
      <c r="M132" s="15"/>
    </row>
    <row r="133" spans="1:13" hidden="1" x14ac:dyDescent="0.25">
      <c r="A133" s="5">
        <v>45201</v>
      </c>
      <c r="B133" s="1" t="s">
        <v>26</v>
      </c>
      <c r="C133" s="1" t="s">
        <v>25</v>
      </c>
      <c r="D133" s="2">
        <v>5.28E-2</v>
      </c>
      <c r="E133" s="3">
        <v>1</v>
      </c>
      <c r="F133" s="2">
        <v>0.1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4">
        <v>0.97</v>
      </c>
      <c r="M133" s="15"/>
    </row>
    <row r="134" spans="1:13" hidden="1" x14ac:dyDescent="0.25">
      <c r="A134" s="5">
        <v>45201</v>
      </c>
      <c r="B134" s="1" t="s">
        <v>26</v>
      </c>
      <c r="C134" s="1" t="s">
        <v>13</v>
      </c>
      <c r="D134" s="2">
        <v>5.5100000000000003E-2</v>
      </c>
      <c r="E134" s="3">
        <v>1</v>
      </c>
      <c r="F134" s="2">
        <v>0.1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4">
        <v>0.97</v>
      </c>
      <c r="M134" s="15"/>
    </row>
    <row r="135" spans="1:13" hidden="1" x14ac:dyDescent="0.25">
      <c r="A135" s="5">
        <v>45201</v>
      </c>
      <c r="B135" s="1" t="s">
        <v>26</v>
      </c>
      <c r="C135" s="1" t="s">
        <v>17</v>
      </c>
      <c r="D135" s="2">
        <v>4.0899999999999999E-2</v>
      </c>
      <c r="E135" s="3">
        <v>1</v>
      </c>
      <c r="F135" s="2">
        <v>9.9999000000000002</v>
      </c>
      <c r="G135" s="2">
        <v>0</v>
      </c>
      <c r="H135" s="2">
        <v>0</v>
      </c>
      <c r="I135" s="2">
        <v>0.08</v>
      </c>
      <c r="J135" s="2">
        <v>0</v>
      </c>
      <c r="K135" s="2">
        <v>0</v>
      </c>
      <c r="L135" s="4">
        <v>0.97</v>
      </c>
      <c r="M135" s="15"/>
    </row>
    <row r="136" spans="1:13" hidden="1" x14ac:dyDescent="0.25">
      <c r="A136" s="5">
        <v>45201</v>
      </c>
      <c r="B136" s="1" t="s">
        <v>26</v>
      </c>
      <c r="C136" s="1" t="s">
        <v>21</v>
      </c>
      <c r="D136" s="2">
        <v>6.2600000000000003E-2</v>
      </c>
      <c r="E136" s="3">
        <v>1</v>
      </c>
      <c r="F136" s="2">
        <v>0.12</v>
      </c>
      <c r="G136" s="2">
        <v>0</v>
      </c>
      <c r="H136" s="2">
        <v>0</v>
      </c>
      <c r="I136" s="2">
        <v>0</v>
      </c>
      <c r="J136" s="2">
        <v>4.1500000000000002E-2</v>
      </c>
      <c r="K136" s="2">
        <v>0.6</v>
      </c>
      <c r="L136" s="4">
        <v>0.97</v>
      </c>
      <c r="M136" s="15"/>
    </row>
    <row r="137" spans="1:13" hidden="1" x14ac:dyDescent="0.25">
      <c r="A137" s="5">
        <v>45201</v>
      </c>
      <c r="B137" s="1" t="s">
        <v>26</v>
      </c>
      <c r="C137" s="1" t="s">
        <v>22</v>
      </c>
      <c r="D137" s="2">
        <v>6.2600000000000003E-2</v>
      </c>
      <c r="E137" s="3">
        <v>1</v>
      </c>
      <c r="F137" s="2">
        <v>0.12</v>
      </c>
      <c r="G137" s="2">
        <v>0</v>
      </c>
      <c r="H137" s="2">
        <v>0</v>
      </c>
      <c r="I137" s="2">
        <v>0</v>
      </c>
      <c r="J137" s="2">
        <v>2.1499999999999998E-2</v>
      </c>
      <c r="K137" s="2">
        <v>0.24</v>
      </c>
      <c r="L137" s="4">
        <v>0.97</v>
      </c>
      <c r="M137" s="15"/>
    </row>
    <row r="138" spans="1:13" hidden="1" x14ac:dyDescent="0.25">
      <c r="A138" s="5">
        <v>45201</v>
      </c>
      <c r="B138" s="1" t="s">
        <v>27</v>
      </c>
      <c r="C138" s="1" t="s">
        <v>13</v>
      </c>
      <c r="D138" s="2">
        <v>5.1900000000000002E-2</v>
      </c>
      <c r="E138" s="3">
        <v>1</v>
      </c>
      <c r="F138" s="2">
        <v>9.2499999999999999E-2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4">
        <v>0.97</v>
      </c>
      <c r="M138" s="15"/>
    </row>
    <row r="139" spans="1:13" hidden="1" x14ac:dyDescent="0.25">
      <c r="A139" s="5">
        <v>45201</v>
      </c>
      <c r="B139" s="1" t="s">
        <v>27</v>
      </c>
      <c r="C139" s="1" t="s">
        <v>17</v>
      </c>
      <c r="D139" s="2">
        <v>3.6200000000000003E-2</v>
      </c>
      <c r="E139" s="3">
        <v>1</v>
      </c>
      <c r="F139" s="2">
        <v>9.9999000000000002</v>
      </c>
      <c r="G139" s="2">
        <v>0</v>
      </c>
      <c r="H139" s="2">
        <v>0</v>
      </c>
      <c r="I139" s="2">
        <v>0.09</v>
      </c>
      <c r="J139" s="2">
        <v>0</v>
      </c>
      <c r="K139" s="2">
        <v>0</v>
      </c>
      <c r="L139" s="4">
        <v>0.97</v>
      </c>
      <c r="M139" s="15"/>
    </row>
    <row r="140" spans="1:13" hidden="1" x14ac:dyDescent="0.25">
      <c r="A140" s="5">
        <v>45201</v>
      </c>
      <c r="B140" s="1" t="s">
        <v>27</v>
      </c>
      <c r="C140" s="1" t="s">
        <v>24</v>
      </c>
      <c r="D140" s="2">
        <v>2.23E-2</v>
      </c>
      <c r="E140" s="3">
        <v>2.2000000000000002</v>
      </c>
      <c r="F140" s="2">
        <v>9.9999000000000002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4">
        <v>0.97</v>
      </c>
      <c r="M140" s="15"/>
    </row>
    <row r="141" spans="1:13" hidden="1" x14ac:dyDescent="0.25">
      <c r="A141" s="5">
        <v>45201</v>
      </c>
      <c r="B141" s="1" t="s">
        <v>27</v>
      </c>
      <c r="C141" s="1" t="s">
        <v>25</v>
      </c>
      <c r="D141" s="2">
        <v>4.9500000000000002E-2</v>
      </c>
      <c r="E141" s="3">
        <v>1</v>
      </c>
      <c r="F141" s="2">
        <v>9.2499999999999999E-2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4">
        <v>0.97</v>
      </c>
      <c r="M141" s="15"/>
    </row>
    <row r="142" spans="1:13" hidden="1" x14ac:dyDescent="0.25">
      <c r="A142" s="5">
        <v>45201</v>
      </c>
      <c r="B142" s="1" t="s">
        <v>28</v>
      </c>
      <c r="C142" s="1" t="s">
        <v>13</v>
      </c>
      <c r="D142" s="2">
        <v>4.8500000000000001E-2</v>
      </c>
      <c r="E142" s="3">
        <v>1</v>
      </c>
      <c r="F142" s="2">
        <v>8.5000000000000006E-2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4">
        <v>0.97</v>
      </c>
      <c r="M142" s="15"/>
    </row>
    <row r="143" spans="1:13" hidden="1" x14ac:dyDescent="0.25">
      <c r="A143" s="5">
        <v>45201</v>
      </c>
      <c r="B143" s="1" t="s">
        <v>28</v>
      </c>
      <c r="C143" s="1" t="s">
        <v>16</v>
      </c>
      <c r="D143" s="2">
        <v>3.15E-2</v>
      </c>
      <c r="E143" s="3">
        <v>1</v>
      </c>
      <c r="F143" s="2">
        <v>7.0000000000000007E-2</v>
      </c>
      <c r="G143" s="2">
        <v>1.4999999999999999E-2</v>
      </c>
      <c r="H143" s="2">
        <v>0</v>
      </c>
      <c r="I143" s="2">
        <v>0</v>
      </c>
      <c r="J143" s="2">
        <v>0</v>
      </c>
      <c r="K143" s="2">
        <v>0</v>
      </c>
      <c r="L143" s="4">
        <v>0.97</v>
      </c>
      <c r="M143" s="15"/>
    </row>
    <row r="144" spans="1:13" hidden="1" x14ac:dyDescent="0.25">
      <c r="A144" s="5">
        <v>45201</v>
      </c>
      <c r="B144" s="1" t="s">
        <v>28</v>
      </c>
      <c r="C144" s="1" t="s">
        <v>17</v>
      </c>
      <c r="D144" s="2">
        <v>4.2099999999999999E-2</v>
      </c>
      <c r="E144" s="3">
        <v>1</v>
      </c>
      <c r="F144" s="2">
        <v>9.9999000000000002</v>
      </c>
      <c r="G144" s="2">
        <v>0</v>
      </c>
      <c r="H144" s="2">
        <v>0</v>
      </c>
      <c r="I144" s="2">
        <v>7.7499999999999999E-2</v>
      </c>
      <c r="J144" s="2">
        <v>0</v>
      </c>
      <c r="K144" s="2">
        <v>0</v>
      </c>
      <c r="L144" s="4">
        <v>0.97</v>
      </c>
      <c r="M144" s="15"/>
    </row>
    <row r="145" spans="1:13" hidden="1" x14ac:dyDescent="0.25">
      <c r="A145" s="5">
        <v>45201</v>
      </c>
      <c r="B145" s="1" t="s">
        <v>28</v>
      </c>
      <c r="C145" s="1" t="s">
        <v>18</v>
      </c>
      <c r="D145" s="2">
        <v>4.6899999999999997E-2</v>
      </c>
      <c r="E145" s="3">
        <v>1</v>
      </c>
      <c r="F145" s="2">
        <v>9.9999000000000002</v>
      </c>
      <c r="G145" s="2">
        <v>0</v>
      </c>
      <c r="H145" s="2">
        <v>6.5000000000000002E-2</v>
      </c>
      <c r="I145" s="2">
        <v>0</v>
      </c>
      <c r="J145" s="2">
        <v>0</v>
      </c>
      <c r="K145" s="2">
        <v>0</v>
      </c>
      <c r="L145" s="4">
        <v>0.97</v>
      </c>
      <c r="M145" s="15"/>
    </row>
    <row r="146" spans="1:13" hidden="1" x14ac:dyDescent="0.25">
      <c r="A146" s="5">
        <v>45201</v>
      </c>
      <c r="B146" s="1" t="s">
        <v>29</v>
      </c>
      <c r="C146" s="1" t="s">
        <v>13</v>
      </c>
      <c r="D146" s="2">
        <v>4.4900000000000002E-2</v>
      </c>
      <c r="E146" s="3">
        <v>1</v>
      </c>
      <c r="F146" s="2">
        <v>7.7499999999999999E-2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4">
        <v>0.97</v>
      </c>
      <c r="M146" s="15"/>
    </row>
    <row r="147" spans="1:13" hidden="1" x14ac:dyDescent="0.25">
      <c r="A147" s="5">
        <v>45201</v>
      </c>
      <c r="B147" s="1" t="s">
        <v>29</v>
      </c>
      <c r="C147" s="1" t="s">
        <v>16</v>
      </c>
      <c r="D147" s="2">
        <v>2.5000000000000001E-2</v>
      </c>
      <c r="E147" s="3">
        <v>1</v>
      </c>
      <c r="F147" s="2">
        <v>5.7500000000000002E-2</v>
      </c>
      <c r="G147" s="2">
        <v>1.4999999999999999E-2</v>
      </c>
      <c r="H147" s="2">
        <v>0</v>
      </c>
      <c r="I147" s="2">
        <v>0</v>
      </c>
      <c r="J147" s="2">
        <v>0</v>
      </c>
      <c r="K147" s="2">
        <v>0</v>
      </c>
      <c r="L147" s="4">
        <v>0.97</v>
      </c>
      <c r="M147" s="15"/>
    </row>
    <row r="148" spans="1:13" hidden="1" x14ac:dyDescent="0.25">
      <c r="A148" s="5">
        <v>45201</v>
      </c>
      <c r="B148" s="1" t="s">
        <v>29</v>
      </c>
      <c r="C148" s="1" t="s">
        <v>17</v>
      </c>
      <c r="D148" s="2">
        <v>3.7600000000000001E-2</v>
      </c>
      <c r="E148" s="3">
        <v>1</v>
      </c>
      <c r="F148" s="2">
        <v>9.9999000000000002</v>
      </c>
      <c r="G148" s="2">
        <v>0</v>
      </c>
      <c r="H148" s="2">
        <v>0</v>
      </c>
      <c r="I148" s="2">
        <v>8.6999999999999994E-2</v>
      </c>
      <c r="J148" s="2">
        <v>0</v>
      </c>
      <c r="K148" s="2">
        <v>0</v>
      </c>
      <c r="L148" s="4">
        <v>0.97</v>
      </c>
      <c r="M148" s="15"/>
    </row>
    <row r="149" spans="1:13" hidden="1" x14ac:dyDescent="0.25">
      <c r="A149" s="5">
        <v>45201</v>
      </c>
      <c r="B149" s="1" t="s">
        <v>29</v>
      </c>
      <c r="C149" s="1" t="s">
        <v>18</v>
      </c>
      <c r="D149" s="2">
        <v>4.1099999999999998E-2</v>
      </c>
      <c r="E149" s="3">
        <v>1</v>
      </c>
      <c r="F149" s="2">
        <v>9.9999000000000002</v>
      </c>
      <c r="G149" s="2">
        <v>0</v>
      </c>
      <c r="H149" s="2">
        <v>5.7000000000000002E-2</v>
      </c>
      <c r="I149" s="2">
        <v>0</v>
      </c>
      <c r="J149" s="2">
        <v>0</v>
      </c>
      <c r="K149" s="2">
        <v>0</v>
      </c>
      <c r="L149" s="4">
        <v>0.97</v>
      </c>
      <c r="M149" s="15"/>
    </row>
    <row r="150" spans="1:13" hidden="1" x14ac:dyDescent="0.25">
      <c r="A150" s="5">
        <v>45231</v>
      </c>
      <c r="B150" s="1" t="s">
        <v>12</v>
      </c>
      <c r="C150" s="1" t="s">
        <v>13</v>
      </c>
      <c r="D150" s="2">
        <v>5.3900000000000003E-2</v>
      </c>
      <c r="E150" s="3">
        <v>1</v>
      </c>
      <c r="F150" s="2">
        <v>9.7500000000000003E-2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4">
        <v>0.97</v>
      </c>
      <c r="M150" s="15"/>
    </row>
    <row r="151" spans="1:13" hidden="1" x14ac:dyDescent="0.25">
      <c r="A151" s="5">
        <v>45231</v>
      </c>
      <c r="B151" s="1" t="s">
        <v>15</v>
      </c>
      <c r="C151" s="1" t="s">
        <v>13</v>
      </c>
      <c r="D151" s="2">
        <v>5.3900000000000003E-2</v>
      </c>
      <c r="E151" s="3">
        <v>1</v>
      </c>
      <c r="F151" s="2">
        <v>9.7500000000000003E-2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4">
        <v>0.97</v>
      </c>
      <c r="M151" s="15"/>
    </row>
    <row r="152" spans="1:13" hidden="1" x14ac:dyDescent="0.25">
      <c r="A152" s="5">
        <v>45231</v>
      </c>
      <c r="B152" s="1" t="s">
        <v>15</v>
      </c>
      <c r="C152" s="1" t="s">
        <v>16</v>
      </c>
      <c r="D152" s="2">
        <v>3.8600000000000002E-2</v>
      </c>
      <c r="E152" s="3">
        <v>1</v>
      </c>
      <c r="F152" s="2">
        <v>8.5000000000000006E-2</v>
      </c>
      <c r="G152" s="2">
        <v>1.4999999999999999E-2</v>
      </c>
      <c r="H152" s="2">
        <v>0</v>
      </c>
      <c r="I152" s="2">
        <v>0</v>
      </c>
      <c r="J152" s="2">
        <v>0</v>
      </c>
      <c r="K152" s="2">
        <v>0</v>
      </c>
      <c r="L152" s="4">
        <v>0.97</v>
      </c>
      <c r="M152" s="15"/>
    </row>
    <row r="153" spans="1:13" hidden="1" x14ac:dyDescent="0.25">
      <c r="A153" s="5">
        <v>45231</v>
      </c>
      <c r="B153" s="1" t="s">
        <v>15</v>
      </c>
      <c r="C153" s="1" t="s">
        <v>17</v>
      </c>
      <c r="D153" s="2">
        <v>4.6300000000000001E-2</v>
      </c>
      <c r="E153" s="3">
        <v>1</v>
      </c>
      <c r="F153" s="2">
        <v>9.9999000000000002</v>
      </c>
      <c r="G153" s="2">
        <v>0</v>
      </c>
      <c r="H153" s="2">
        <v>0</v>
      </c>
      <c r="I153" s="2">
        <v>0.08</v>
      </c>
      <c r="J153" s="2">
        <v>0</v>
      </c>
      <c r="K153" s="2">
        <v>0</v>
      </c>
      <c r="L153" s="4">
        <v>0.97</v>
      </c>
      <c r="M153" s="15"/>
    </row>
    <row r="154" spans="1:13" hidden="1" x14ac:dyDescent="0.25">
      <c r="A154" s="5">
        <v>45231</v>
      </c>
      <c r="B154" s="1" t="s">
        <v>15</v>
      </c>
      <c r="C154" s="1" t="s">
        <v>18</v>
      </c>
      <c r="D154" s="2">
        <v>5.2900000000000003E-2</v>
      </c>
      <c r="E154" s="3">
        <v>1</v>
      </c>
      <c r="F154" s="2">
        <v>9.9999000000000002</v>
      </c>
      <c r="G154" s="2">
        <v>0</v>
      </c>
      <c r="H154" s="2">
        <v>7.4999999999999997E-2</v>
      </c>
      <c r="I154" s="2">
        <v>0</v>
      </c>
      <c r="J154" s="2">
        <v>0</v>
      </c>
      <c r="K154" s="2">
        <v>0</v>
      </c>
      <c r="L154" s="4">
        <v>0.97</v>
      </c>
      <c r="M154" s="15"/>
    </row>
    <row r="155" spans="1:13" hidden="1" x14ac:dyDescent="0.25">
      <c r="A155" s="5">
        <v>45231</v>
      </c>
      <c r="B155" s="1" t="s">
        <v>19</v>
      </c>
      <c r="C155" s="1" t="s">
        <v>13</v>
      </c>
      <c r="D155" s="2">
        <v>4.2099999999999999E-2</v>
      </c>
      <c r="E155" s="3">
        <v>1</v>
      </c>
      <c r="F155" s="2">
        <v>7.2499999999999995E-2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4">
        <v>0.97</v>
      </c>
      <c r="M155" s="15"/>
    </row>
    <row r="156" spans="1:13" hidden="1" x14ac:dyDescent="0.25">
      <c r="A156" s="5">
        <v>45231</v>
      </c>
      <c r="B156" s="1" t="s">
        <v>19</v>
      </c>
      <c r="C156" s="1" t="s">
        <v>16</v>
      </c>
      <c r="D156" s="2">
        <v>2.6100000000000002E-2</v>
      </c>
      <c r="E156" s="3">
        <v>1</v>
      </c>
      <c r="F156" s="2">
        <v>0.06</v>
      </c>
      <c r="G156" s="2">
        <v>1.4999999999999999E-2</v>
      </c>
      <c r="H156" s="2">
        <v>0</v>
      </c>
      <c r="I156" s="2">
        <v>0</v>
      </c>
      <c r="J156" s="2">
        <v>0</v>
      </c>
      <c r="K156" s="2">
        <v>0</v>
      </c>
      <c r="L156" s="4">
        <v>0.97</v>
      </c>
      <c r="M156" s="15"/>
    </row>
    <row r="157" spans="1:13" hidden="1" x14ac:dyDescent="0.25">
      <c r="A157" s="5">
        <v>45231</v>
      </c>
      <c r="B157" s="1" t="s">
        <v>19</v>
      </c>
      <c r="C157" s="1" t="s">
        <v>17</v>
      </c>
      <c r="D157" s="2">
        <v>4.1599999999999998E-2</v>
      </c>
      <c r="E157" s="3">
        <v>1</v>
      </c>
      <c r="F157" s="2">
        <v>9.9999000000000002</v>
      </c>
      <c r="G157" s="2">
        <v>0</v>
      </c>
      <c r="H157" s="2">
        <v>0</v>
      </c>
      <c r="I157" s="2">
        <v>0.09</v>
      </c>
      <c r="J157" s="2">
        <v>0</v>
      </c>
      <c r="K157" s="2">
        <v>0</v>
      </c>
      <c r="L157" s="4">
        <v>0.97</v>
      </c>
      <c r="M157" s="15"/>
    </row>
    <row r="158" spans="1:13" hidden="1" x14ac:dyDescent="0.25">
      <c r="A158" s="5">
        <v>45231</v>
      </c>
      <c r="B158" s="1" t="s">
        <v>19</v>
      </c>
      <c r="C158" s="1" t="s">
        <v>18</v>
      </c>
      <c r="D158" s="2">
        <v>4.2299999999999997E-2</v>
      </c>
      <c r="E158" s="3">
        <v>1</v>
      </c>
      <c r="F158" s="2">
        <v>9.9999000000000002</v>
      </c>
      <c r="G158" s="2">
        <v>0</v>
      </c>
      <c r="H158" s="2">
        <v>0.06</v>
      </c>
      <c r="I158" s="2">
        <v>0</v>
      </c>
      <c r="J158" s="2">
        <v>0</v>
      </c>
      <c r="K158" s="2">
        <v>0</v>
      </c>
      <c r="L158" s="4">
        <v>0.97</v>
      </c>
      <c r="M158" s="15"/>
    </row>
    <row r="159" spans="1:13" hidden="1" x14ac:dyDescent="0.25">
      <c r="A159" s="5">
        <v>45231</v>
      </c>
      <c r="B159" s="1" t="s">
        <v>20</v>
      </c>
      <c r="C159" s="1" t="s">
        <v>13</v>
      </c>
      <c r="D159" s="2">
        <v>5.3900000000000003E-2</v>
      </c>
      <c r="E159" s="3">
        <v>1</v>
      </c>
      <c r="F159" s="2">
        <v>9.7500000000000003E-2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4">
        <v>0.97</v>
      </c>
      <c r="M159" s="15"/>
    </row>
    <row r="160" spans="1:13" hidden="1" x14ac:dyDescent="0.25">
      <c r="A160" s="5">
        <v>45231</v>
      </c>
      <c r="B160" s="1" t="s">
        <v>20</v>
      </c>
      <c r="C160" s="1" t="s">
        <v>17</v>
      </c>
      <c r="D160" s="2">
        <v>4.6300000000000001E-2</v>
      </c>
      <c r="E160" s="3">
        <v>1</v>
      </c>
      <c r="F160" s="2">
        <v>9.9999000000000002</v>
      </c>
      <c r="G160" s="2">
        <v>0</v>
      </c>
      <c r="H160" s="2">
        <v>0</v>
      </c>
      <c r="I160" s="2">
        <v>0.08</v>
      </c>
      <c r="J160" s="2">
        <v>0</v>
      </c>
      <c r="K160" s="2">
        <v>0</v>
      </c>
      <c r="L160" s="4">
        <v>0.97</v>
      </c>
      <c r="M160" s="15"/>
    </row>
    <row r="161" spans="1:13" hidden="1" x14ac:dyDescent="0.25">
      <c r="A161" s="5">
        <v>45231</v>
      </c>
      <c r="B161" s="1" t="s">
        <v>20</v>
      </c>
      <c r="C161" s="1" t="s">
        <v>21</v>
      </c>
      <c r="D161" s="2">
        <v>6.3E-2</v>
      </c>
      <c r="E161" s="3">
        <v>1</v>
      </c>
      <c r="F161" s="2">
        <v>0.12</v>
      </c>
      <c r="G161" s="2">
        <v>0</v>
      </c>
      <c r="H161" s="2">
        <v>0</v>
      </c>
      <c r="I161" s="2">
        <v>0</v>
      </c>
      <c r="J161" s="2">
        <v>4.1500000000000002E-2</v>
      </c>
      <c r="K161" s="2">
        <v>0.6</v>
      </c>
      <c r="L161" s="4">
        <v>0.97</v>
      </c>
      <c r="M161" s="15"/>
    </row>
    <row r="162" spans="1:13" hidden="1" x14ac:dyDescent="0.25">
      <c r="A162" s="5">
        <v>45231</v>
      </c>
      <c r="B162" s="1" t="s">
        <v>20</v>
      </c>
      <c r="C162" s="1" t="s">
        <v>22</v>
      </c>
      <c r="D162" s="2">
        <v>6.3E-2</v>
      </c>
      <c r="E162" s="3">
        <v>1</v>
      </c>
      <c r="F162" s="2">
        <v>0.12</v>
      </c>
      <c r="G162" s="2">
        <v>0</v>
      </c>
      <c r="H162" s="2">
        <v>0</v>
      </c>
      <c r="I162" s="2">
        <v>0</v>
      </c>
      <c r="J162" s="2">
        <v>2.1499999999999998E-2</v>
      </c>
      <c r="K162" s="2">
        <v>0.24</v>
      </c>
      <c r="L162" s="4">
        <v>0.97</v>
      </c>
      <c r="M162" s="15"/>
    </row>
    <row r="163" spans="1:13" hidden="1" x14ac:dyDescent="0.25">
      <c r="A163" s="5">
        <v>45231</v>
      </c>
      <c r="B163" s="1" t="s">
        <v>23</v>
      </c>
      <c r="C163" s="1" t="s">
        <v>24</v>
      </c>
      <c r="D163" s="2">
        <v>2.2200000000000001E-2</v>
      </c>
      <c r="E163" s="3">
        <v>2.4</v>
      </c>
      <c r="F163" s="2">
        <v>9.9999000000000002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4">
        <v>0.97</v>
      </c>
      <c r="M163" s="15"/>
    </row>
    <row r="164" spans="1:13" hidden="1" x14ac:dyDescent="0.25">
      <c r="A164" s="5">
        <v>45231</v>
      </c>
      <c r="B164" s="1" t="s">
        <v>23</v>
      </c>
      <c r="C164" s="1" t="s">
        <v>25</v>
      </c>
      <c r="D164" s="2">
        <v>5.4100000000000002E-2</v>
      </c>
      <c r="E164" s="3">
        <v>1</v>
      </c>
      <c r="F164" s="2">
        <v>0.10249999999999999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4">
        <v>0.97</v>
      </c>
      <c r="M164" s="15"/>
    </row>
    <row r="165" spans="1:13" hidden="1" x14ac:dyDescent="0.25">
      <c r="A165" s="5">
        <v>45231</v>
      </c>
      <c r="B165" s="1" t="s">
        <v>23</v>
      </c>
      <c r="C165" s="1" t="s">
        <v>13</v>
      </c>
      <c r="D165" s="2">
        <v>5.6099999999999997E-2</v>
      </c>
      <c r="E165" s="3">
        <v>1</v>
      </c>
      <c r="F165" s="2">
        <v>0.10249999999999999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4">
        <v>0.97</v>
      </c>
      <c r="M165" s="15"/>
    </row>
    <row r="166" spans="1:13" hidden="1" x14ac:dyDescent="0.25">
      <c r="A166" s="5">
        <v>45231</v>
      </c>
      <c r="B166" s="1" t="s">
        <v>23</v>
      </c>
      <c r="C166" s="1" t="s">
        <v>17</v>
      </c>
      <c r="D166" s="2">
        <v>4.6300000000000001E-2</v>
      </c>
      <c r="E166" s="3">
        <v>1</v>
      </c>
      <c r="F166" s="2">
        <v>9.9999000000000002</v>
      </c>
      <c r="G166" s="2">
        <v>0</v>
      </c>
      <c r="H166" s="2">
        <v>0</v>
      </c>
      <c r="I166" s="2">
        <v>0.08</v>
      </c>
      <c r="J166" s="2">
        <v>0</v>
      </c>
      <c r="K166" s="2">
        <v>0</v>
      </c>
      <c r="L166" s="4">
        <v>0.97</v>
      </c>
      <c r="M166" s="15"/>
    </row>
    <row r="167" spans="1:13" hidden="1" x14ac:dyDescent="0.25">
      <c r="A167" s="5">
        <v>45231</v>
      </c>
      <c r="B167" s="1" t="s">
        <v>23</v>
      </c>
      <c r="C167" s="1" t="s">
        <v>21</v>
      </c>
      <c r="D167" s="2">
        <v>6.3E-2</v>
      </c>
      <c r="E167" s="3">
        <v>1</v>
      </c>
      <c r="F167" s="2">
        <v>0.12</v>
      </c>
      <c r="G167" s="2">
        <v>0</v>
      </c>
      <c r="H167" s="2">
        <v>0</v>
      </c>
      <c r="I167" s="2">
        <v>0</v>
      </c>
      <c r="J167" s="2">
        <v>4.1500000000000002E-2</v>
      </c>
      <c r="K167" s="2">
        <v>0.6</v>
      </c>
      <c r="L167" s="4">
        <v>0.97</v>
      </c>
      <c r="M167" s="15"/>
    </row>
    <row r="168" spans="1:13" hidden="1" x14ac:dyDescent="0.25">
      <c r="A168" s="5">
        <v>45231</v>
      </c>
      <c r="B168" s="1" t="s">
        <v>23</v>
      </c>
      <c r="C168" s="1" t="s">
        <v>22</v>
      </c>
      <c r="D168" s="2">
        <v>6.3E-2</v>
      </c>
      <c r="E168" s="3">
        <v>1</v>
      </c>
      <c r="F168" s="2">
        <v>0.12</v>
      </c>
      <c r="G168" s="2">
        <v>0</v>
      </c>
      <c r="H168" s="2">
        <v>0</v>
      </c>
      <c r="I168" s="2">
        <v>0</v>
      </c>
      <c r="J168" s="2">
        <v>2.1499999999999998E-2</v>
      </c>
      <c r="K168" s="2">
        <v>0.24</v>
      </c>
      <c r="L168" s="4">
        <v>0.97</v>
      </c>
      <c r="M168" s="15"/>
    </row>
    <row r="169" spans="1:13" hidden="1" x14ac:dyDescent="0.25">
      <c r="A169" s="5">
        <v>45231</v>
      </c>
      <c r="B169" s="1" t="s">
        <v>26</v>
      </c>
      <c r="C169" s="1" t="s">
        <v>24</v>
      </c>
      <c r="D169" s="2">
        <v>2.2200000000000001E-2</v>
      </c>
      <c r="E169" s="3">
        <v>2.4</v>
      </c>
      <c r="F169" s="2">
        <v>9.9999000000000002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4">
        <v>0.97</v>
      </c>
      <c r="M169" s="15"/>
    </row>
    <row r="170" spans="1:13" hidden="1" x14ac:dyDescent="0.25">
      <c r="A170" s="5">
        <v>45231</v>
      </c>
      <c r="B170" s="1" t="s">
        <v>26</v>
      </c>
      <c r="C170" s="1" t="s">
        <v>25</v>
      </c>
      <c r="D170" s="2">
        <v>5.2999999999999999E-2</v>
      </c>
      <c r="E170" s="3">
        <v>1</v>
      </c>
      <c r="F170" s="2">
        <v>0.1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4">
        <v>0.97</v>
      </c>
      <c r="M170" s="15"/>
    </row>
    <row r="171" spans="1:13" hidden="1" x14ac:dyDescent="0.25">
      <c r="A171" s="5">
        <v>45231</v>
      </c>
      <c r="B171" s="1" t="s">
        <v>26</v>
      </c>
      <c r="C171" s="1" t="s">
        <v>13</v>
      </c>
      <c r="D171" s="2">
        <v>5.5E-2</v>
      </c>
      <c r="E171" s="3">
        <v>1</v>
      </c>
      <c r="F171" s="2">
        <v>0.1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4">
        <v>0.97</v>
      </c>
      <c r="M171" s="15"/>
    </row>
    <row r="172" spans="1:13" hidden="1" x14ac:dyDescent="0.25">
      <c r="A172" s="5">
        <v>45231</v>
      </c>
      <c r="B172" s="1" t="s">
        <v>26</v>
      </c>
      <c r="C172" s="1" t="s">
        <v>17</v>
      </c>
      <c r="D172" s="2">
        <v>4.6300000000000001E-2</v>
      </c>
      <c r="E172" s="3">
        <v>1</v>
      </c>
      <c r="F172" s="2">
        <v>9.9999000000000002</v>
      </c>
      <c r="G172" s="2">
        <v>0</v>
      </c>
      <c r="H172" s="2">
        <v>0</v>
      </c>
      <c r="I172" s="2">
        <v>0.08</v>
      </c>
      <c r="J172" s="2">
        <v>0</v>
      </c>
      <c r="K172" s="2">
        <v>0</v>
      </c>
      <c r="L172" s="4">
        <v>0.97</v>
      </c>
      <c r="M172" s="15"/>
    </row>
    <row r="173" spans="1:13" hidden="1" x14ac:dyDescent="0.25">
      <c r="A173" s="5">
        <v>45231</v>
      </c>
      <c r="B173" s="1" t="s">
        <v>26</v>
      </c>
      <c r="C173" s="1" t="s">
        <v>21</v>
      </c>
      <c r="D173" s="2">
        <v>6.3E-2</v>
      </c>
      <c r="E173" s="3">
        <v>1</v>
      </c>
      <c r="F173" s="2">
        <v>0.12</v>
      </c>
      <c r="G173" s="2">
        <v>0</v>
      </c>
      <c r="H173" s="2">
        <v>0</v>
      </c>
      <c r="I173" s="2">
        <v>0</v>
      </c>
      <c r="J173" s="2">
        <v>4.1500000000000002E-2</v>
      </c>
      <c r="K173" s="2">
        <v>0.6</v>
      </c>
      <c r="L173" s="4">
        <v>0.97</v>
      </c>
      <c r="M173" s="15"/>
    </row>
    <row r="174" spans="1:13" hidden="1" x14ac:dyDescent="0.25">
      <c r="A174" s="5">
        <v>45231</v>
      </c>
      <c r="B174" s="1" t="s">
        <v>26</v>
      </c>
      <c r="C174" s="1" t="s">
        <v>22</v>
      </c>
      <c r="D174" s="2">
        <v>6.3E-2</v>
      </c>
      <c r="E174" s="3">
        <v>1</v>
      </c>
      <c r="F174" s="2">
        <v>0.12</v>
      </c>
      <c r="G174" s="2">
        <v>0</v>
      </c>
      <c r="H174" s="2">
        <v>0</v>
      </c>
      <c r="I174" s="2">
        <v>0</v>
      </c>
      <c r="J174" s="2">
        <v>2.1499999999999998E-2</v>
      </c>
      <c r="K174" s="2">
        <v>0.24</v>
      </c>
      <c r="L174" s="4">
        <v>0.97</v>
      </c>
      <c r="M174" s="15"/>
    </row>
    <row r="175" spans="1:13" hidden="1" x14ac:dyDescent="0.25">
      <c r="A175" s="5">
        <v>45231</v>
      </c>
      <c r="B175" s="1" t="s">
        <v>27</v>
      </c>
      <c r="C175" s="1" t="s">
        <v>13</v>
      </c>
      <c r="D175" s="2">
        <v>5.1700000000000003E-2</v>
      </c>
      <c r="E175" s="3">
        <v>1</v>
      </c>
      <c r="F175" s="2">
        <v>9.2499999999999999E-2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4">
        <v>0.97</v>
      </c>
      <c r="M175" s="15"/>
    </row>
    <row r="176" spans="1:13" hidden="1" x14ac:dyDescent="0.25">
      <c r="A176" s="5">
        <v>45231</v>
      </c>
      <c r="B176" s="1" t="s">
        <v>27</v>
      </c>
      <c r="C176" s="1" t="s">
        <v>17</v>
      </c>
      <c r="D176" s="2">
        <v>4.1599999999999998E-2</v>
      </c>
      <c r="E176" s="3">
        <v>1</v>
      </c>
      <c r="F176" s="2">
        <v>9.9999000000000002</v>
      </c>
      <c r="G176" s="2">
        <v>0</v>
      </c>
      <c r="H176" s="2">
        <v>0</v>
      </c>
      <c r="I176" s="2">
        <v>0.09</v>
      </c>
      <c r="J176" s="2">
        <v>0</v>
      </c>
      <c r="K176" s="2">
        <v>0</v>
      </c>
      <c r="L176" s="4">
        <v>0.97</v>
      </c>
      <c r="M176" s="15"/>
    </row>
    <row r="177" spans="1:13" hidden="1" x14ac:dyDescent="0.25">
      <c r="A177" s="5">
        <v>45231</v>
      </c>
      <c r="B177" s="1" t="s">
        <v>27</v>
      </c>
      <c r="C177" s="1" t="s">
        <v>24</v>
      </c>
      <c r="D177" s="2">
        <v>2.2200000000000001E-2</v>
      </c>
      <c r="E177" s="3">
        <v>2.2000000000000002</v>
      </c>
      <c r="F177" s="2">
        <v>9.9999000000000002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4">
        <v>0.97</v>
      </c>
      <c r="M177" s="15"/>
    </row>
    <row r="178" spans="1:13" hidden="1" x14ac:dyDescent="0.25">
      <c r="A178" s="5">
        <v>45231</v>
      </c>
      <c r="B178" s="1" t="s">
        <v>27</v>
      </c>
      <c r="C178" s="1" t="s">
        <v>25</v>
      </c>
      <c r="D178" s="2">
        <v>4.9599999999999998E-2</v>
      </c>
      <c r="E178" s="3">
        <v>1</v>
      </c>
      <c r="F178" s="2">
        <v>9.2499999999999999E-2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4">
        <v>0.97</v>
      </c>
      <c r="M178" s="15"/>
    </row>
    <row r="179" spans="1:13" hidden="1" x14ac:dyDescent="0.25">
      <c r="A179" s="5">
        <v>45231</v>
      </c>
      <c r="B179" s="1" t="s">
        <v>28</v>
      </c>
      <c r="C179" s="1" t="s">
        <v>13</v>
      </c>
      <c r="D179" s="2">
        <v>4.82E-2</v>
      </c>
      <c r="E179" s="3">
        <v>1</v>
      </c>
      <c r="F179" s="2">
        <v>8.5000000000000006E-2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4">
        <v>0.97</v>
      </c>
      <c r="M179" s="15"/>
    </row>
    <row r="180" spans="1:13" hidden="1" x14ac:dyDescent="0.25">
      <c r="A180" s="5">
        <v>45231</v>
      </c>
      <c r="B180" s="1" t="s">
        <v>28</v>
      </c>
      <c r="C180" s="1" t="s">
        <v>16</v>
      </c>
      <c r="D180" s="2">
        <v>3.1300000000000001E-2</v>
      </c>
      <c r="E180" s="3">
        <v>1</v>
      </c>
      <c r="F180" s="2">
        <v>7.0000000000000007E-2</v>
      </c>
      <c r="G180" s="2">
        <v>1.4999999999999999E-2</v>
      </c>
      <c r="H180" s="2">
        <v>0</v>
      </c>
      <c r="I180" s="2">
        <v>0</v>
      </c>
      <c r="J180" s="2">
        <v>0</v>
      </c>
      <c r="K180" s="2">
        <v>0</v>
      </c>
      <c r="L180" s="4">
        <v>0.97</v>
      </c>
      <c r="M180" s="15"/>
    </row>
    <row r="181" spans="1:13" hidden="1" x14ac:dyDescent="0.25">
      <c r="A181" s="5">
        <v>45231</v>
      </c>
      <c r="B181" s="1" t="s">
        <v>28</v>
      </c>
      <c r="C181" s="1" t="s">
        <v>17</v>
      </c>
      <c r="D181" s="2">
        <v>4.7600000000000003E-2</v>
      </c>
      <c r="E181" s="3">
        <v>1</v>
      </c>
      <c r="F181" s="2">
        <v>9.9999000000000002</v>
      </c>
      <c r="G181" s="2">
        <v>0</v>
      </c>
      <c r="H181" s="2">
        <v>0</v>
      </c>
      <c r="I181" s="2">
        <v>7.7499999999999999E-2</v>
      </c>
      <c r="J181" s="2">
        <v>0</v>
      </c>
      <c r="K181" s="2">
        <v>0</v>
      </c>
      <c r="L181" s="4">
        <v>0.97</v>
      </c>
      <c r="M181" s="15"/>
    </row>
    <row r="182" spans="1:13" hidden="1" x14ac:dyDescent="0.25">
      <c r="A182" s="5">
        <v>45231</v>
      </c>
      <c r="B182" s="1" t="s">
        <v>28</v>
      </c>
      <c r="C182" s="1" t="s">
        <v>18</v>
      </c>
      <c r="D182" s="2">
        <v>4.5900000000000003E-2</v>
      </c>
      <c r="E182" s="3">
        <v>1</v>
      </c>
      <c r="F182" s="2">
        <v>9.9999000000000002</v>
      </c>
      <c r="G182" s="2">
        <v>0</v>
      </c>
      <c r="H182" s="2">
        <v>6.5000000000000002E-2</v>
      </c>
      <c r="I182" s="2">
        <v>0</v>
      </c>
      <c r="J182" s="2">
        <v>0</v>
      </c>
      <c r="K182" s="2">
        <v>0</v>
      </c>
      <c r="L182" s="4">
        <v>0.97</v>
      </c>
      <c r="M182" s="15"/>
    </row>
    <row r="183" spans="1:13" hidden="1" x14ac:dyDescent="0.25">
      <c r="A183" s="5">
        <v>45231</v>
      </c>
      <c r="B183" s="1" t="s">
        <v>29</v>
      </c>
      <c r="C183" s="1" t="s">
        <v>13</v>
      </c>
      <c r="D183" s="2">
        <v>4.4600000000000001E-2</v>
      </c>
      <c r="E183" s="3">
        <v>1</v>
      </c>
      <c r="F183" s="2">
        <v>7.7499999999999999E-2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4">
        <v>0.97</v>
      </c>
      <c r="M183" s="15"/>
    </row>
    <row r="184" spans="1:13" hidden="1" x14ac:dyDescent="0.25">
      <c r="A184" s="5">
        <v>45231</v>
      </c>
      <c r="B184" s="1" t="s">
        <v>29</v>
      </c>
      <c r="C184" s="1" t="s">
        <v>16</v>
      </c>
      <c r="D184" s="2">
        <v>2.47E-2</v>
      </c>
      <c r="E184" s="3">
        <v>1</v>
      </c>
      <c r="F184" s="2">
        <v>5.7500000000000002E-2</v>
      </c>
      <c r="G184" s="2">
        <v>1.4999999999999999E-2</v>
      </c>
      <c r="H184" s="2">
        <v>0</v>
      </c>
      <c r="I184" s="2">
        <v>0</v>
      </c>
      <c r="J184" s="2">
        <v>0</v>
      </c>
      <c r="K184" s="2">
        <v>0</v>
      </c>
      <c r="L184" s="4">
        <v>0.97</v>
      </c>
      <c r="M184" s="15"/>
    </row>
    <row r="185" spans="1:13" hidden="1" x14ac:dyDescent="0.25">
      <c r="A185" s="5">
        <v>45231</v>
      </c>
      <c r="B185" s="1" t="s">
        <v>29</v>
      </c>
      <c r="C185" s="1" t="s">
        <v>17</v>
      </c>
      <c r="D185" s="2">
        <v>4.2999999999999997E-2</v>
      </c>
      <c r="E185" s="3">
        <v>1</v>
      </c>
      <c r="F185" s="2">
        <v>9.9999000000000002</v>
      </c>
      <c r="G185" s="2">
        <v>0</v>
      </c>
      <c r="H185" s="2">
        <v>0</v>
      </c>
      <c r="I185" s="2">
        <v>8.6999999999999994E-2</v>
      </c>
      <c r="J185" s="2">
        <v>0</v>
      </c>
      <c r="K185" s="2">
        <v>0</v>
      </c>
      <c r="L185" s="4">
        <v>0.97</v>
      </c>
      <c r="M185" s="15"/>
    </row>
    <row r="186" spans="1:13" hidden="1" x14ac:dyDescent="0.25">
      <c r="A186" s="5">
        <v>45231</v>
      </c>
      <c r="B186" s="1" t="s">
        <v>29</v>
      </c>
      <c r="C186" s="1" t="s">
        <v>18</v>
      </c>
      <c r="D186" s="2">
        <v>4.02E-2</v>
      </c>
      <c r="E186" s="3">
        <v>1</v>
      </c>
      <c r="F186" s="2">
        <v>9.9999000000000002</v>
      </c>
      <c r="G186" s="2">
        <v>0</v>
      </c>
      <c r="H186" s="2">
        <v>5.7000000000000002E-2</v>
      </c>
      <c r="I186" s="2">
        <v>0</v>
      </c>
      <c r="J186" s="2">
        <v>0</v>
      </c>
      <c r="K186" s="2">
        <v>0</v>
      </c>
      <c r="L186" s="4">
        <v>0.97</v>
      </c>
      <c r="M186" s="15"/>
    </row>
    <row r="187" spans="1:13" hidden="1" x14ac:dyDescent="0.25">
      <c r="A187" s="5">
        <v>45261</v>
      </c>
      <c r="B187" s="1" t="s">
        <v>12</v>
      </c>
      <c r="C187" s="1" t="s">
        <v>13</v>
      </c>
      <c r="D187" s="2">
        <v>5.33E-2</v>
      </c>
      <c r="E187" s="3">
        <v>1</v>
      </c>
      <c r="F187" s="2">
        <v>9.7500000000000003E-2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4">
        <v>0.97</v>
      </c>
      <c r="M187" s="15"/>
    </row>
    <row r="188" spans="1:13" hidden="1" x14ac:dyDescent="0.25">
      <c r="A188" s="5">
        <v>45261</v>
      </c>
      <c r="B188" s="1" t="s">
        <v>15</v>
      </c>
      <c r="C188" s="1" t="s">
        <v>13</v>
      </c>
      <c r="D188" s="2">
        <v>5.33E-2</v>
      </c>
      <c r="E188" s="3">
        <v>1</v>
      </c>
      <c r="F188" s="2">
        <v>9.7500000000000003E-2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4">
        <v>0.97</v>
      </c>
      <c r="M188" s="15"/>
    </row>
    <row r="189" spans="1:13" hidden="1" x14ac:dyDescent="0.25">
      <c r="A189" s="5">
        <v>45261</v>
      </c>
      <c r="B189" s="1" t="s">
        <v>15</v>
      </c>
      <c r="C189" s="1" t="s">
        <v>16</v>
      </c>
      <c r="D189" s="2">
        <v>3.8199999999999998E-2</v>
      </c>
      <c r="E189" s="3">
        <v>1</v>
      </c>
      <c r="F189" s="2">
        <v>8.5000000000000006E-2</v>
      </c>
      <c r="G189" s="2">
        <v>1.4999999999999999E-2</v>
      </c>
      <c r="H189" s="2">
        <v>0</v>
      </c>
      <c r="I189" s="2">
        <v>0</v>
      </c>
      <c r="J189" s="2">
        <v>0</v>
      </c>
      <c r="K189" s="2">
        <v>0</v>
      </c>
      <c r="L189" s="4">
        <v>0.97</v>
      </c>
      <c r="M189" s="15"/>
    </row>
    <row r="190" spans="1:13" hidden="1" x14ac:dyDescent="0.25">
      <c r="A190" s="5">
        <v>45261</v>
      </c>
      <c r="B190" s="1" t="s">
        <v>15</v>
      </c>
      <c r="C190" s="1" t="s">
        <v>17</v>
      </c>
      <c r="D190" s="2">
        <v>4.1799999999999997E-2</v>
      </c>
      <c r="E190" s="3">
        <v>1</v>
      </c>
      <c r="F190" s="2">
        <v>9.9999000000000002</v>
      </c>
      <c r="G190" s="2">
        <v>0</v>
      </c>
      <c r="H190" s="2">
        <v>0</v>
      </c>
      <c r="I190" s="2">
        <v>0.08</v>
      </c>
      <c r="J190" s="2">
        <v>0</v>
      </c>
      <c r="K190" s="2">
        <v>0</v>
      </c>
      <c r="L190" s="4">
        <v>0.97</v>
      </c>
      <c r="M190" s="15"/>
    </row>
    <row r="191" spans="1:13" hidden="1" x14ac:dyDescent="0.25">
      <c r="A191" s="5">
        <v>45261</v>
      </c>
      <c r="B191" s="1" t="s">
        <v>15</v>
      </c>
      <c r="C191" s="1" t="s">
        <v>18</v>
      </c>
      <c r="D191" s="2">
        <v>5.3699999999999998E-2</v>
      </c>
      <c r="E191" s="3">
        <v>1</v>
      </c>
      <c r="F191" s="2">
        <v>9.9999000000000002</v>
      </c>
      <c r="G191" s="2">
        <v>0</v>
      </c>
      <c r="H191" s="2">
        <v>7.4999999999999997E-2</v>
      </c>
      <c r="I191" s="2">
        <v>0</v>
      </c>
      <c r="J191" s="2">
        <v>0</v>
      </c>
      <c r="K191" s="2">
        <v>0</v>
      </c>
      <c r="L191" s="4">
        <v>0.97</v>
      </c>
      <c r="M191" s="15"/>
    </row>
    <row r="192" spans="1:13" hidden="1" x14ac:dyDescent="0.25">
      <c r="A192" s="5">
        <v>45261</v>
      </c>
      <c r="B192" s="1" t="s">
        <v>19</v>
      </c>
      <c r="C192" s="1" t="s">
        <v>13</v>
      </c>
      <c r="D192" s="2">
        <v>4.1799999999999997E-2</v>
      </c>
      <c r="E192" s="3">
        <v>1</v>
      </c>
      <c r="F192" s="2">
        <v>7.2499999999999995E-2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4">
        <v>0.97</v>
      </c>
      <c r="M192" s="15"/>
    </row>
    <row r="193" spans="1:13" hidden="1" x14ac:dyDescent="0.25">
      <c r="A193" s="5">
        <v>45261</v>
      </c>
      <c r="B193" s="1" t="s">
        <v>19</v>
      </c>
      <c r="C193" s="1" t="s">
        <v>16</v>
      </c>
      <c r="D193" s="2">
        <v>2.5899999999999999E-2</v>
      </c>
      <c r="E193" s="3">
        <v>1</v>
      </c>
      <c r="F193" s="2">
        <v>0.06</v>
      </c>
      <c r="G193" s="2">
        <v>1.4999999999999999E-2</v>
      </c>
      <c r="H193" s="2">
        <v>0</v>
      </c>
      <c r="I193" s="2">
        <v>0</v>
      </c>
      <c r="J193" s="2">
        <v>0</v>
      </c>
      <c r="K193" s="2">
        <v>0</v>
      </c>
      <c r="L193" s="4">
        <v>0.97</v>
      </c>
      <c r="M193" s="15"/>
    </row>
    <row r="194" spans="1:13" hidden="1" x14ac:dyDescent="0.25">
      <c r="A194" s="5">
        <v>45261</v>
      </c>
      <c r="B194" s="1" t="s">
        <v>19</v>
      </c>
      <c r="C194" s="1" t="s">
        <v>17</v>
      </c>
      <c r="D194" s="2">
        <v>3.7199999999999997E-2</v>
      </c>
      <c r="E194" s="3">
        <v>1</v>
      </c>
      <c r="F194" s="2">
        <v>9.9999000000000002</v>
      </c>
      <c r="G194" s="2">
        <v>0</v>
      </c>
      <c r="H194" s="2">
        <v>0</v>
      </c>
      <c r="I194" s="2">
        <v>0.09</v>
      </c>
      <c r="J194" s="2">
        <v>0</v>
      </c>
      <c r="K194" s="2">
        <v>0</v>
      </c>
      <c r="L194" s="4">
        <v>0.97</v>
      </c>
      <c r="M194" s="15"/>
    </row>
    <row r="195" spans="1:13" hidden="1" x14ac:dyDescent="0.25">
      <c r="A195" s="5">
        <v>45261</v>
      </c>
      <c r="B195" s="1" t="s">
        <v>19</v>
      </c>
      <c r="C195" s="1" t="s">
        <v>18</v>
      </c>
      <c r="D195" s="2">
        <v>4.2900000000000001E-2</v>
      </c>
      <c r="E195" s="3">
        <v>1</v>
      </c>
      <c r="F195" s="2">
        <v>9.9999000000000002</v>
      </c>
      <c r="G195" s="2">
        <v>0</v>
      </c>
      <c r="H195" s="2">
        <v>0.06</v>
      </c>
      <c r="I195" s="2">
        <v>0</v>
      </c>
      <c r="J195" s="2">
        <v>0</v>
      </c>
      <c r="K195" s="2">
        <v>0</v>
      </c>
      <c r="L195" s="4">
        <v>0.97</v>
      </c>
      <c r="M195" s="15"/>
    </row>
    <row r="196" spans="1:13" hidden="1" x14ac:dyDescent="0.25">
      <c r="A196" s="5">
        <v>45261</v>
      </c>
      <c r="B196" s="1" t="s">
        <v>20</v>
      </c>
      <c r="C196" s="1" t="s">
        <v>13</v>
      </c>
      <c r="D196" s="2">
        <v>5.33E-2</v>
      </c>
      <c r="E196" s="3">
        <v>1</v>
      </c>
      <c r="F196" s="2">
        <v>9.7500000000000003E-2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4">
        <v>0.97</v>
      </c>
      <c r="M196" s="15"/>
    </row>
    <row r="197" spans="1:13" hidden="1" x14ac:dyDescent="0.25">
      <c r="A197" s="5">
        <v>45261</v>
      </c>
      <c r="B197" s="1" t="s">
        <v>20</v>
      </c>
      <c r="C197" s="1" t="s">
        <v>17</v>
      </c>
      <c r="D197" s="2">
        <v>4.1799999999999997E-2</v>
      </c>
      <c r="E197" s="3">
        <v>1</v>
      </c>
      <c r="F197" s="2">
        <v>9.9999000000000002</v>
      </c>
      <c r="G197" s="2">
        <v>0</v>
      </c>
      <c r="H197" s="2">
        <v>0</v>
      </c>
      <c r="I197" s="2">
        <v>0.08</v>
      </c>
      <c r="J197" s="2">
        <v>0</v>
      </c>
      <c r="K197" s="2">
        <v>0</v>
      </c>
      <c r="L197" s="4">
        <v>0.97</v>
      </c>
      <c r="M197" s="15"/>
    </row>
    <row r="198" spans="1:13" hidden="1" x14ac:dyDescent="0.25">
      <c r="A198" s="5">
        <v>45261</v>
      </c>
      <c r="B198" s="1" t="s">
        <v>20</v>
      </c>
      <c r="C198" s="1" t="s">
        <v>21</v>
      </c>
      <c r="D198" s="2">
        <v>6.2E-2</v>
      </c>
      <c r="E198" s="3">
        <v>1</v>
      </c>
      <c r="F198" s="2">
        <v>0.12</v>
      </c>
      <c r="G198" s="2">
        <v>0</v>
      </c>
      <c r="H198" s="2">
        <v>0</v>
      </c>
      <c r="I198" s="2">
        <v>0</v>
      </c>
      <c r="J198" s="2">
        <v>4.1500000000000002E-2</v>
      </c>
      <c r="K198" s="2">
        <v>0.6</v>
      </c>
      <c r="L198" s="4">
        <v>0.97</v>
      </c>
      <c r="M198" s="15"/>
    </row>
    <row r="199" spans="1:13" hidden="1" x14ac:dyDescent="0.25">
      <c r="A199" s="5">
        <v>45261</v>
      </c>
      <c r="B199" s="1" t="s">
        <v>20</v>
      </c>
      <c r="C199" s="1" t="s">
        <v>22</v>
      </c>
      <c r="D199" s="2">
        <v>6.2E-2</v>
      </c>
      <c r="E199" s="3">
        <v>1</v>
      </c>
      <c r="F199" s="2">
        <v>0.12</v>
      </c>
      <c r="G199" s="2">
        <v>0</v>
      </c>
      <c r="H199" s="2">
        <v>0</v>
      </c>
      <c r="I199" s="2">
        <v>0</v>
      </c>
      <c r="J199" s="2">
        <v>2.1499999999999998E-2</v>
      </c>
      <c r="K199" s="2">
        <v>0.24</v>
      </c>
      <c r="L199" s="4">
        <v>0.97</v>
      </c>
      <c r="M199" s="15"/>
    </row>
    <row r="200" spans="1:13" hidden="1" x14ac:dyDescent="0.25">
      <c r="A200" s="5">
        <v>45261</v>
      </c>
      <c r="B200" s="1" t="s">
        <v>23</v>
      </c>
      <c r="C200" s="1" t="s">
        <v>24</v>
      </c>
      <c r="D200" s="2">
        <v>2.2200000000000001E-2</v>
      </c>
      <c r="E200" s="3">
        <v>2.4</v>
      </c>
      <c r="F200" s="2">
        <v>9.9999000000000002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4">
        <v>0.97</v>
      </c>
      <c r="M200" s="15"/>
    </row>
    <row r="201" spans="1:13" hidden="1" x14ac:dyDescent="0.25">
      <c r="A201" s="5">
        <v>45261</v>
      </c>
      <c r="B201" s="1" t="s">
        <v>23</v>
      </c>
      <c r="C201" s="1" t="s">
        <v>25</v>
      </c>
      <c r="D201" s="2">
        <v>5.3900000000000003E-2</v>
      </c>
      <c r="E201" s="3">
        <v>1</v>
      </c>
      <c r="F201" s="2">
        <v>0.10249999999999999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4">
        <v>0.97</v>
      </c>
      <c r="M201" s="15"/>
    </row>
    <row r="202" spans="1:13" hidden="1" x14ac:dyDescent="0.25">
      <c r="A202" s="5">
        <v>45261</v>
      </c>
      <c r="B202" s="1" t="s">
        <v>23</v>
      </c>
      <c r="C202" s="1" t="s">
        <v>13</v>
      </c>
      <c r="D202" s="2">
        <v>5.5399999999999998E-2</v>
      </c>
      <c r="E202" s="3">
        <v>1</v>
      </c>
      <c r="F202" s="2">
        <v>0.10249999999999999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4">
        <v>0.97</v>
      </c>
      <c r="M202" s="15"/>
    </row>
    <row r="203" spans="1:13" hidden="1" x14ac:dyDescent="0.25">
      <c r="A203" s="5">
        <v>45261</v>
      </c>
      <c r="B203" s="1" t="s">
        <v>23</v>
      </c>
      <c r="C203" s="1" t="s">
        <v>17</v>
      </c>
      <c r="D203" s="2">
        <v>4.1799999999999997E-2</v>
      </c>
      <c r="E203" s="3">
        <v>1</v>
      </c>
      <c r="F203" s="2">
        <v>9.9999000000000002</v>
      </c>
      <c r="G203" s="2">
        <v>0</v>
      </c>
      <c r="H203" s="2">
        <v>0</v>
      </c>
      <c r="I203" s="2">
        <v>0.08</v>
      </c>
      <c r="J203" s="2">
        <v>0</v>
      </c>
      <c r="K203" s="2">
        <v>0</v>
      </c>
      <c r="L203" s="4">
        <v>0.97</v>
      </c>
      <c r="M203" s="15"/>
    </row>
    <row r="204" spans="1:13" hidden="1" x14ac:dyDescent="0.25">
      <c r="A204" s="5">
        <v>45261</v>
      </c>
      <c r="B204" s="1" t="s">
        <v>23</v>
      </c>
      <c r="C204" s="1" t="s">
        <v>21</v>
      </c>
      <c r="D204" s="2">
        <v>6.2E-2</v>
      </c>
      <c r="E204" s="3">
        <v>1</v>
      </c>
      <c r="F204" s="2">
        <v>0.12</v>
      </c>
      <c r="G204" s="2">
        <v>0</v>
      </c>
      <c r="H204" s="2">
        <v>0</v>
      </c>
      <c r="I204" s="2">
        <v>0</v>
      </c>
      <c r="J204" s="2">
        <v>4.1500000000000002E-2</v>
      </c>
      <c r="K204" s="2">
        <v>0.6</v>
      </c>
      <c r="L204" s="4">
        <v>0.97</v>
      </c>
      <c r="M204" s="15"/>
    </row>
    <row r="205" spans="1:13" hidden="1" x14ac:dyDescent="0.25">
      <c r="A205" s="5">
        <v>45261</v>
      </c>
      <c r="B205" s="1" t="s">
        <v>23</v>
      </c>
      <c r="C205" s="1" t="s">
        <v>22</v>
      </c>
      <c r="D205" s="2">
        <v>6.2E-2</v>
      </c>
      <c r="E205" s="3">
        <v>1</v>
      </c>
      <c r="F205" s="2">
        <v>0.12</v>
      </c>
      <c r="G205" s="2">
        <v>0</v>
      </c>
      <c r="H205" s="2">
        <v>0</v>
      </c>
      <c r="I205" s="2">
        <v>0</v>
      </c>
      <c r="J205" s="2">
        <v>2.1499999999999998E-2</v>
      </c>
      <c r="K205" s="2">
        <v>0.24</v>
      </c>
      <c r="L205" s="4">
        <v>0.97</v>
      </c>
      <c r="M205" s="15"/>
    </row>
    <row r="206" spans="1:13" hidden="1" x14ac:dyDescent="0.25">
      <c r="A206" s="5">
        <v>45261</v>
      </c>
      <c r="B206" s="1" t="s">
        <v>26</v>
      </c>
      <c r="C206" s="1" t="s">
        <v>24</v>
      </c>
      <c r="D206" s="2">
        <v>2.2200000000000001E-2</v>
      </c>
      <c r="E206" s="3">
        <v>2.4</v>
      </c>
      <c r="F206" s="2">
        <v>9.9999000000000002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4">
        <v>0.97</v>
      </c>
      <c r="M206" s="15"/>
    </row>
    <row r="207" spans="1:13" hidden="1" x14ac:dyDescent="0.25">
      <c r="A207" s="5">
        <v>45261</v>
      </c>
      <c r="B207" s="1" t="s">
        <v>26</v>
      </c>
      <c r="C207" s="1" t="s">
        <v>25</v>
      </c>
      <c r="D207" s="2">
        <v>5.28E-2</v>
      </c>
      <c r="E207" s="3">
        <v>1</v>
      </c>
      <c r="F207" s="2">
        <v>0.1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4">
        <v>0.97</v>
      </c>
      <c r="M207" s="15"/>
    </row>
    <row r="208" spans="1:13" hidden="1" x14ac:dyDescent="0.25">
      <c r="A208" s="5">
        <v>45261</v>
      </c>
      <c r="B208" s="1" t="s">
        <v>26</v>
      </c>
      <c r="C208" s="1" t="s">
        <v>13</v>
      </c>
      <c r="D208" s="2">
        <v>5.4399999999999997E-2</v>
      </c>
      <c r="E208" s="3">
        <v>1</v>
      </c>
      <c r="F208" s="2">
        <v>0.1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4">
        <v>0.97</v>
      </c>
      <c r="M208" s="15"/>
    </row>
    <row r="209" spans="1:13" hidden="1" x14ac:dyDescent="0.25">
      <c r="A209" s="5">
        <v>45261</v>
      </c>
      <c r="B209" s="1" t="s">
        <v>26</v>
      </c>
      <c r="C209" s="1" t="s">
        <v>17</v>
      </c>
      <c r="D209" s="2">
        <v>4.1799999999999997E-2</v>
      </c>
      <c r="E209" s="3">
        <v>1</v>
      </c>
      <c r="F209" s="2">
        <v>9.9999000000000002</v>
      </c>
      <c r="G209" s="2">
        <v>0</v>
      </c>
      <c r="H209" s="2">
        <v>0</v>
      </c>
      <c r="I209" s="2">
        <v>0.08</v>
      </c>
      <c r="J209" s="2">
        <v>0</v>
      </c>
      <c r="K209" s="2">
        <v>0</v>
      </c>
      <c r="L209" s="4">
        <v>0.97</v>
      </c>
      <c r="M209" s="15"/>
    </row>
    <row r="210" spans="1:13" hidden="1" x14ac:dyDescent="0.25">
      <c r="A210" s="5">
        <v>45261</v>
      </c>
      <c r="B210" s="1" t="s">
        <v>26</v>
      </c>
      <c r="C210" s="1" t="s">
        <v>21</v>
      </c>
      <c r="D210" s="2">
        <v>6.2E-2</v>
      </c>
      <c r="E210" s="3">
        <v>1</v>
      </c>
      <c r="F210" s="2">
        <v>0.12</v>
      </c>
      <c r="G210" s="2">
        <v>0</v>
      </c>
      <c r="H210" s="2">
        <v>0</v>
      </c>
      <c r="I210" s="2">
        <v>0</v>
      </c>
      <c r="J210" s="2">
        <v>4.1500000000000002E-2</v>
      </c>
      <c r="K210" s="2">
        <v>0.6</v>
      </c>
      <c r="L210" s="4">
        <v>0.97</v>
      </c>
      <c r="M210" s="15"/>
    </row>
    <row r="211" spans="1:13" hidden="1" x14ac:dyDescent="0.25">
      <c r="A211" s="5">
        <v>45261</v>
      </c>
      <c r="B211" s="1" t="s">
        <v>26</v>
      </c>
      <c r="C211" s="1" t="s">
        <v>22</v>
      </c>
      <c r="D211" s="2">
        <v>6.2E-2</v>
      </c>
      <c r="E211" s="3">
        <v>1</v>
      </c>
      <c r="F211" s="2">
        <v>0.12</v>
      </c>
      <c r="G211" s="2">
        <v>0</v>
      </c>
      <c r="H211" s="2">
        <v>0</v>
      </c>
      <c r="I211" s="2">
        <v>0</v>
      </c>
      <c r="J211" s="2">
        <v>2.1499999999999998E-2</v>
      </c>
      <c r="K211" s="2">
        <v>0.24</v>
      </c>
      <c r="L211" s="4">
        <v>0.97</v>
      </c>
      <c r="M211" s="15"/>
    </row>
    <row r="212" spans="1:13" hidden="1" x14ac:dyDescent="0.25">
      <c r="A212" s="5">
        <v>45261</v>
      </c>
      <c r="B212" s="1" t="s">
        <v>27</v>
      </c>
      <c r="C212" s="1" t="s">
        <v>13</v>
      </c>
      <c r="D212" s="2">
        <v>5.1200000000000002E-2</v>
      </c>
      <c r="E212" s="3">
        <v>1</v>
      </c>
      <c r="F212" s="2">
        <v>9.2499999999999999E-2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4">
        <v>0.97</v>
      </c>
      <c r="M212" s="15"/>
    </row>
    <row r="213" spans="1:13" hidden="1" x14ac:dyDescent="0.25">
      <c r="A213" s="5">
        <v>45261</v>
      </c>
      <c r="B213" s="1" t="s">
        <v>27</v>
      </c>
      <c r="C213" s="1" t="s">
        <v>17</v>
      </c>
      <c r="D213" s="2">
        <v>3.7199999999999997E-2</v>
      </c>
      <c r="E213" s="3">
        <v>1</v>
      </c>
      <c r="F213" s="2">
        <v>9.9999000000000002</v>
      </c>
      <c r="G213" s="2">
        <v>0</v>
      </c>
      <c r="H213" s="2">
        <v>0</v>
      </c>
      <c r="I213" s="2">
        <v>0.09</v>
      </c>
      <c r="J213" s="2">
        <v>0</v>
      </c>
      <c r="K213" s="2">
        <v>0</v>
      </c>
      <c r="L213" s="4">
        <v>0.97</v>
      </c>
      <c r="M213" s="15"/>
    </row>
    <row r="214" spans="1:13" hidden="1" x14ac:dyDescent="0.25">
      <c r="A214" s="5">
        <v>45261</v>
      </c>
      <c r="B214" s="1" t="s">
        <v>27</v>
      </c>
      <c r="C214" s="1" t="s">
        <v>24</v>
      </c>
      <c r="D214" s="2">
        <v>2.2200000000000001E-2</v>
      </c>
      <c r="E214" s="3">
        <v>2.2000000000000002</v>
      </c>
      <c r="F214" s="2">
        <v>9.9999000000000002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4">
        <v>0.97</v>
      </c>
      <c r="M214" s="15"/>
    </row>
    <row r="215" spans="1:13" hidden="1" x14ac:dyDescent="0.25">
      <c r="A215" s="5">
        <v>45261</v>
      </c>
      <c r="B215" s="1" t="s">
        <v>27</v>
      </c>
      <c r="C215" s="1" t="s">
        <v>25</v>
      </c>
      <c r="D215" s="2">
        <v>4.9500000000000002E-2</v>
      </c>
      <c r="E215" s="3">
        <v>1</v>
      </c>
      <c r="F215" s="2">
        <v>9.2499999999999999E-2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4">
        <v>0.97</v>
      </c>
      <c r="M215" s="15"/>
    </row>
    <row r="216" spans="1:13" hidden="1" x14ac:dyDescent="0.25">
      <c r="A216" s="5">
        <v>45261</v>
      </c>
      <c r="B216" s="1" t="s">
        <v>28</v>
      </c>
      <c r="C216" s="1" t="s">
        <v>13</v>
      </c>
      <c r="D216" s="2">
        <v>4.7800000000000002E-2</v>
      </c>
      <c r="E216" s="3">
        <v>1</v>
      </c>
      <c r="F216" s="2">
        <v>8.5000000000000006E-2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4">
        <v>0.97</v>
      </c>
      <c r="M216" s="15"/>
    </row>
    <row r="217" spans="1:13" hidden="1" x14ac:dyDescent="0.25">
      <c r="A217" s="5">
        <v>45261</v>
      </c>
      <c r="B217" s="1" t="s">
        <v>28</v>
      </c>
      <c r="C217" s="1" t="s">
        <v>16</v>
      </c>
      <c r="D217" s="2">
        <v>3.1E-2</v>
      </c>
      <c r="E217" s="3">
        <v>1</v>
      </c>
      <c r="F217" s="2">
        <v>7.0000000000000007E-2</v>
      </c>
      <c r="G217" s="2">
        <v>1.4999999999999999E-2</v>
      </c>
      <c r="H217" s="2">
        <v>0</v>
      </c>
      <c r="I217" s="2">
        <v>0</v>
      </c>
      <c r="J217" s="2">
        <v>0</v>
      </c>
      <c r="K217" s="2">
        <v>0</v>
      </c>
      <c r="L217" s="4">
        <v>0.97</v>
      </c>
      <c r="M217" s="15"/>
    </row>
    <row r="218" spans="1:13" hidden="1" x14ac:dyDescent="0.25">
      <c r="A218" s="5">
        <v>45261</v>
      </c>
      <c r="B218" s="1" t="s">
        <v>28</v>
      </c>
      <c r="C218" s="1" t="s">
        <v>17</v>
      </c>
      <c r="D218" s="2">
        <v>4.2999999999999997E-2</v>
      </c>
      <c r="E218" s="3">
        <v>1</v>
      </c>
      <c r="F218" s="2">
        <v>9.9999000000000002</v>
      </c>
      <c r="G218" s="2">
        <v>0</v>
      </c>
      <c r="H218" s="2">
        <v>0</v>
      </c>
      <c r="I218" s="2">
        <v>7.7499999999999999E-2</v>
      </c>
      <c r="J218" s="2">
        <v>0</v>
      </c>
      <c r="K218" s="2">
        <v>0</v>
      </c>
      <c r="L218" s="4">
        <v>0.97</v>
      </c>
      <c r="M218" s="15"/>
    </row>
    <row r="219" spans="1:13" hidden="1" x14ac:dyDescent="0.25">
      <c r="A219" s="5">
        <v>45261</v>
      </c>
      <c r="B219" s="1" t="s">
        <v>28</v>
      </c>
      <c r="C219" s="1" t="s">
        <v>18</v>
      </c>
      <c r="D219" s="2">
        <v>4.65E-2</v>
      </c>
      <c r="E219" s="3">
        <v>1</v>
      </c>
      <c r="F219" s="2">
        <v>9.9999000000000002</v>
      </c>
      <c r="G219" s="2">
        <v>0</v>
      </c>
      <c r="H219" s="2">
        <v>6.5000000000000002E-2</v>
      </c>
      <c r="I219" s="2">
        <v>0</v>
      </c>
      <c r="J219" s="2">
        <v>0</v>
      </c>
      <c r="K219" s="2">
        <v>0</v>
      </c>
      <c r="L219" s="4">
        <v>0.97</v>
      </c>
      <c r="M219" s="15"/>
    </row>
    <row r="220" spans="1:13" hidden="1" x14ac:dyDescent="0.25">
      <c r="A220" s="5">
        <v>45261</v>
      </c>
      <c r="B220" s="1" t="s">
        <v>29</v>
      </c>
      <c r="C220" s="1" t="s">
        <v>13</v>
      </c>
      <c r="D220" s="2">
        <v>4.4299999999999999E-2</v>
      </c>
      <c r="E220" s="3">
        <v>1</v>
      </c>
      <c r="F220" s="2">
        <v>7.7499999999999999E-2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4">
        <v>0.97</v>
      </c>
      <c r="M220" s="15"/>
    </row>
    <row r="221" spans="1:13" hidden="1" x14ac:dyDescent="0.25">
      <c r="A221" s="5">
        <v>45261</v>
      </c>
      <c r="B221" s="1" t="s">
        <v>29</v>
      </c>
      <c r="C221" s="1" t="s">
        <v>16</v>
      </c>
      <c r="D221" s="2">
        <v>2.46E-2</v>
      </c>
      <c r="E221" s="3">
        <v>1</v>
      </c>
      <c r="F221" s="2">
        <v>5.7500000000000002E-2</v>
      </c>
      <c r="G221" s="2">
        <v>1.4999999999999999E-2</v>
      </c>
      <c r="H221" s="2">
        <v>0</v>
      </c>
      <c r="I221" s="2">
        <v>0</v>
      </c>
      <c r="J221" s="2">
        <v>0</v>
      </c>
      <c r="K221" s="2">
        <v>0</v>
      </c>
      <c r="L221" s="4">
        <v>0.97</v>
      </c>
      <c r="M221" s="15"/>
    </row>
    <row r="222" spans="1:13" hidden="1" x14ac:dyDescent="0.25">
      <c r="A222" s="5">
        <v>45261</v>
      </c>
      <c r="B222" s="1" t="s">
        <v>29</v>
      </c>
      <c r="C222" s="1" t="s">
        <v>17</v>
      </c>
      <c r="D222" s="2">
        <v>3.8600000000000002E-2</v>
      </c>
      <c r="E222" s="3">
        <v>1</v>
      </c>
      <c r="F222" s="2">
        <v>9.9999000000000002</v>
      </c>
      <c r="G222" s="2">
        <v>0</v>
      </c>
      <c r="H222" s="2">
        <v>0</v>
      </c>
      <c r="I222" s="2">
        <v>8.6999999999999994E-2</v>
      </c>
      <c r="J222" s="2">
        <v>0</v>
      </c>
      <c r="K222" s="2">
        <v>0</v>
      </c>
      <c r="L222" s="4">
        <v>0.97</v>
      </c>
      <c r="M222" s="15"/>
    </row>
    <row r="223" spans="1:13" hidden="1" x14ac:dyDescent="0.25">
      <c r="A223" s="5">
        <v>45261</v>
      </c>
      <c r="B223" s="1" t="s">
        <v>29</v>
      </c>
      <c r="C223" s="1" t="s">
        <v>18</v>
      </c>
      <c r="D223" s="2">
        <v>4.0800000000000003E-2</v>
      </c>
      <c r="E223" s="3">
        <v>1</v>
      </c>
      <c r="F223" s="2">
        <v>9.9999000000000002</v>
      </c>
      <c r="G223" s="2">
        <v>0</v>
      </c>
      <c r="H223" s="2">
        <v>5.7000000000000002E-2</v>
      </c>
      <c r="I223" s="2">
        <v>0</v>
      </c>
      <c r="J223" s="2">
        <v>0</v>
      </c>
      <c r="K223" s="2">
        <v>0</v>
      </c>
      <c r="L223" s="4">
        <v>0.97</v>
      </c>
      <c r="M223" s="15"/>
    </row>
    <row r="224" spans="1:13" hidden="1" x14ac:dyDescent="0.25">
      <c r="A224" s="5">
        <v>45293</v>
      </c>
      <c r="B224" s="1" t="s">
        <v>12</v>
      </c>
      <c r="C224" s="1" t="s">
        <v>13</v>
      </c>
      <c r="D224" s="2">
        <v>5.2900000000000003E-2</v>
      </c>
      <c r="E224" s="3">
        <v>1</v>
      </c>
      <c r="F224" s="2">
        <v>9.7500000000000003E-2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4">
        <v>0.97</v>
      </c>
      <c r="M224" s="15"/>
    </row>
    <row r="225" spans="1:13" hidden="1" x14ac:dyDescent="0.25">
      <c r="A225" s="5">
        <v>45293</v>
      </c>
      <c r="B225" s="1" t="s">
        <v>15</v>
      </c>
      <c r="C225" s="1" t="s">
        <v>13</v>
      </c>
      <c r="D225" s="2">
        <v>5.2900000000000003E-2</v>
      </c>
      <c r="E225" s="3">
        <v>1</v>
      </c>
      <c r="F225" s="2">
        <v>9.7500000000000003E-2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4">
        <v>0.97</v>
      </c>
      <c r="M225" s="15"/>
    </row>
    <row r="226" spans="1:13" hidden="1" x14ac:dyDescent="0.25">
      <c r="A226" s="5">
        <v>45293</v>
      </c>
      <c r="B226" s="1" t="s">
        <v>15</v>
      </c>
      <c r="C226" s="1" t="s">
        <v>16</v>
      </c>
      <c r="D226" s="2">
        <v>3.7900000000000003E-2</v>
      </c>
      <c r="E226" s="3">
        <v>1</v>
      </c>
      <c r="F226" s="2">
        <v>8.5000000000000006E-2</v>
      </c>
      <c r="G226" s="2">
        <v>1.4999999999999999E-2</v>
      </c>
      <c r="H226" s="2">
        <v>0</v>
      </c>
      <c r="I226" s="2">
        <v>0</v>
      </c>
      <c r="J226" s="2">
        <v>0</v>
      </c>
      <c r="K226" s="2">
        <v>0</v>
      </c>
      <c r="L226" s="4">
        <v>0.97</v>
      </c>
      <c r="M226" s="15"/>
    </row>
    <row r="227" spans="1:13" hidden="1" x14ac:dyDescent="0.25">
      <c r="A227" s="5">
        <v>45293</v>
      </c>
      <c r="B227" s="1" t="s">
        <v>15</v>
      </c>
      <c r="C227" s="1" t="s">
        <v>17</v>
      </c>
      <c r="D227" s="2">
        <v>3.8100000000000002E-2</v>
      </c>
      <c r="E227" s="3">
        <v>1</v>
      </c>
      <c r="F227" s="2">
        <v>9.9999000000000002</v>
      </c>
      <c r="G227" s="2">
        <v>0</v>
      </c>
      <c r="H227" s="2">
        <v>0</v>
      </c>
      <c r="I227" s="2">
        <v>0.08</v>
      </c>
      <c r="J227" s="2">
        <v>0</v>
      </c>
      <c r="K227" s="2">
        <v>0</v>
      </c>
      <c r="L227" s="4">
        <v>0.97</v>
      </c>
      <c r="M227" s="15"/>
    </row>
    <row r="228" spans="1:13" hidden="1" x14ac:dyDescent="0.25">
      <c r="A228" s="5">
        <v>45293</v>
      </c>
      <c r="B228" s="1" t="s">
        <v>15</v>
      </c>
      <c r="C228" s="1" t="s">
        <v>18</v>
      </c>
      <c r="D228" s="2">
        <v>5.3999999999999999E-2</v>
      </c>
      <c r="E228" s="3">
        <v>1</v>
      </c>
      <c r="F228" s="2">
        <v>9.9999000000000002</v>
      </c>
      <c r="G228" s="2">
        <v>0</v>
      </c>
      <c r="H228" s="2">
        <v>7.4999999999999997E-2</v>
      </c>
      <c r="I228" s="2">
        <v>0</v>
      </c>
      <c r="J228" s="2">
        <v>0</v>
      </c>
      <c r="K228" s="2">
        <v>0</v>
      </c>
      <c r="L228" s="4">
        <v>0.97</v>
      </c>
      <c r="M228" s="15"/>
    </row>
    <row r="229" spans="1:13" hidden="1" x14ac:dyDescent="0.25">
      <c r="A229" s="5">
        <v>45293</v>
      </c>
      <c r="B229" s="1" t="s">
        <v>19</v>
      </c>
      <c r="C229" s="1" t="s">
        <v>13</v>
      </c>
      <c r="D229" s="2">
        <v>4.1799999999999997E-2</v>
      </c>
      <c r="E229" s="3">
        <v>1</v>
      </c>
      <c r="F229" s="2">
        <v>7.2499999999999995E-2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4">
        <v>0.97</v>
      </c>
      <c r="M229" s="15"/>
    </row>
    <row r="230" spans="1:13" hidden="1" x14ac:dyDescent="0.25">
      <c r="A230" s="5">
        <v>45293</v>
      </c>
      <c r="B230" s="1" t="s">
        <v>19</v>
      </c>
      <c r="C230" s="1" t="s">
        <v>16</v>
      </c>
      <c r="D230" s="2">
        <v>2.5899999999999999E-2</v>
      </c>
      <c r="E230" s="3">
        <v>1</v>
      </c>
      <c r="F230" s="2">
        <v>0.06</v>
      </c>
      <c r="G230" s="2">
        <v>1.4999999999999999E-2</v>
      </c>
      <c r="H230" s="2">
        <v>0</v>
      </c>
      <c r="I230" s="2">
        <v>0</v>
      </c>
      <c r="J230" s="2">
        <v>0</v>
      </c>
      <c r="K230" s="2">
        <v>0</v>
      </c>
      <c r="L230" s="4">
        <v>0.97</v>
      </c>
      <c r="M230" s="15"/>
    </row>
    <row r="231" spans="1:13" hidden="1" x14ac:dyDescent="0.25">
      <c r="A231" s="5">
        <v>45293</v>
      </c>
      <c r="B231" s="1" t="s">
        <v>19</v>
      </c>
      <c r="C231" s="1" t="s">
        <v>17</v>
      </c>
      <c r="D231" s="2">
        <v>3.3599999999999998E-2</v>
      </c>
      <c r="E231" s="3">
        <v>1</v>
      </c>
      <c r="F231" s="2">
        <v>9.9999000000000002</v>
      </c>
      <c r="G231" s="2">
        <v>0</v>
      </c>
      <c r="H231" s="2">
        <v>0</v>
      </c>
      <c r="I231" s="2">
        <v>0.09</v>
      </c>
      <c r="J231" s="2">
        <v>0</v>
      </c>
      <c r="K231" s="2">
        <v>0</v>
      </c>
      <c r="L231" s="4">
        <v>0.97</v>
      </c>
      <c r="M231" s="15"/>
    </row>
    <row r="232" spans="1:13" hidden="1" x14ac:dyDescent="0.25">
      <c r="A232" s="5">
        <v>45293</v>
      </c>
      <c r="B232" s="1" t="s">
        <v>19</v>
      </c>
      <c r="C232" s="1" t="s">
        <v>18</v>
      </c>
      <c r="D232" s="2">
        <v>4.3200000000000002E-2</v>
      </c>
      <c r="E232" s="3">
        <v>1</v>
      </c>
      <c r="F232" s="2">
        <v>9.9999000000000002</v>
      </c>
      <c r="G232" s="2">
        <v>0</v>
      </c>
      <c r="H232" s="2">
        <v>0.06</v>
      </c>
      <c r="I232" s="2">
        <v>0</v>
      </c>
      <c r="J232" s="2">
        <v>0</v>
      </c>
      <c r="K232" s="2">
        <v>0</v>
      </c>
      <c r="L232" s="4">
        <v>0.97</v>
      </c>
      <c r="M232" s="15"/>
    </row>
    <row r="233" spans="1:13" hidden="1" x14ac:dyDescent="0.25">
      <c r="A233" s="5">
        <v>45293</v>
      </c>
      <c r="B233" s="1" t="s">
        <v>20</v>
      </c>
      <c r="C233" s="1" t="s">
        <v>13</v>
      </c>
      <c r="D233" s="2">
        <v>5.2900000000000003E-2</v>
      </c>
      <c r="E233" s="3">
        <v>1</v>
      </c>
      <c r="F233" s="2">
        <v>9.7500000000000003E-2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4">
        <v>0.97</v>
      </c>
      <c r="M233" s="15"/>
    </row>
    <row r="234" spans="1:13" hidden="1" x14ac:dyDescent="0.25">
      <c r="A234" s="5">
        <v>45293</v>
      </c>
      <c r="B234" s="1" t="s">
        <v>20</v>
      </c>
      <c r="C234" s="1" t="s">
        <v>17</v>
      </c>
      <c r="D234" s="2">
        <v>3.8100000000000002E-2</v>
      </c>
      <c r="E234" s="3">
        <v>1</v>
      </c>
      <c r="F234" s="2">
        <v>9.9999000000000002</v>
      </c>
      <c r="G234" s="2">
        <v>0</v>
      </c>
      <c r="H234" s="2">
        <v>0</v>
      </c>
      <c r="I234" s="2">
        <v>0.08</v>
      </c>
      <c r="J234" s="2">
        <v>0</v>
      </c>
      <c r="K234" s="2">
        <v>0</v>
      </c>
      <c r="L234" s="4">
        <v>0.97</v>
      </c>
      <c r="M234" s="15"/>
    </row>
    <row r="235" spans="1:13" hidden="1" x14ac:dyDescent="0.25">
      <c r="A235" s="5">
        <v>45293</v>
      </c>
      <c r="B235" s="1" t="s">
        <v>20</v>
      </c>
      <c r="C235" s="1" t="s">
        <v>21</v>
      </c>
      <c r="D235" s="2">
        <v>6.1100000000000002E-2</v>
      </c>
      <c r="E235" s="3">
        <v>1</v>
      </c>
      <c r="F235" s="2">
        <v>0.12</v>
      </c>
      <c r="G235" s="2">
        <v>0</v>
      </c>
      <c r="H235" s="2">
        <v>0</v>
      </c>
      <c r="I235" s="2">
        <v>0</v>
      </c>
      <c r="J235" s="2">
        <v>4.1500000000000002E-2</v>
      </c>
      <c r="K235" s="2">
        <v>0.6</v>
      </c>
      <c r="L235" s="4">
        <v>0.97</v>
      </c>
      <c r="M235" s="15"/>
    </row>
    <row r="236" spans="1:13" hidden="1" x14ac:dyDescent="0.25">
      <c r="A236" s="5">
        <v>45293</v>
      </c>
      <c r="B236" s="1" t="s">
        <v>20</v>
      </c>
      <c r="C236" s="1" t="s">
        <v>22</v>
      </c>
      <c r="D236" s="2">
        <v>6.1100000000000002E-2</v>
      </c>
      <c r="E236" s="3">
        <v>1</v>
      </c>
      <c r="F236" s="2">
        <v>0.12</v>
      </c>
      <c r="G236" s="2">
        <v>0</v>
      </c>
      <c r="H236" s="2">
        <v>0</v>
      </c>
      <c r="I236" s="2">
        <v>0</v>
      </c>
      <c r="J236" s="2">
        <v>2.1499999999999998E-2</v>
      </c>
      <c r="K236" s="2">
        <v>0.24</v>
      </c>
      <c r="L236" s="4">
        <v>0.97</v>
      </c>
      <c r="M236" s="15"/>
    </row>
    <row r="237" spans="1:13" hidden="1" x14ac:dyDescent="0.25">
      <c r="A237" s="5">
        <v>45293</v>
      </c>
      <c r="B237" s="1" t="s">
        <v>23</v>
      </c>
      <c r="C237" s="1" t="s">
        <v>24</v>
      </c>
      <c r="D237" s="2">
        <v>2.2200000000000001E-2</v>
      </c>
      <c r="E237" s="3">
        <v>2.4</v>
      </c>
      <c r="F237" s="2">
        <v>9.9999000000000002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4">
        <v>0.97</v>
      </c>
      <c r="M237" s="15"/>
    </row>
    <row r="238" spans="1:13" hidden="1" x14ac:dyDescent="0.25">
      <c r="A238" s="5">
        <v>45293</v>
      </c>
      <c r="B238" s="1" t="s">
        <v>23</v>
      </c>
      <c r="C238" s="1" t="s">
        <v>25</v>
      </c>
      <c r="D238" s="2">
        <v>5.3499999999999999E-2</v>
      </c>
      <c r="E238" s="3">
        <v>1</v>
      </c>
      <c r="F238" s="2">
        <v>0.10249999999999999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4">
        <v>0.97</v>
      </c>
      <c r="M238" s="15"/>
    </row>
    <row r="239" spans="1:13" hidden="1" x14ac:dyDescent="0.25">
      <c r="A239" s="5">
        <v>45293</v>
      </c>
      <c r="B239" s="1" t="s">
        <v>23</v>
      </c>
      <c r="C239" s="1" t="s">
        <v>13</v>
      </c>
      <c r="D239" s="2">
        <v>5.4899999999999997E-2</v>
      </c>
      <c r="E239" s="3">
        <v>1</v>
      </c>
      <c r="F239" s="2">
        <v>0.10249999999999999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4">
        <v>0.97</v>
      </c>
      <c r="M239" s="15"/>
    </row>
    <row r="240" spans="1:13" hidden="1" x14ac:dyDescent="0.25">
      <c r="A240" s="5">
        <v>45293</v>
      </c>
      <c r="B240" s="1" t="s">
        <v>23</v>
      </c>
      <c r="C240" s="1" t="s">
        <v>17</v>
      </c>
      <c r="D240" s="2">
        <v>3.8100000000000002E-2</v>
      </c>
      <c r="E240" s="3">
        <v>1</v>
      </c>
      <c r="F240" s="2">
        <v>9.9999000000000002</v>
      </c>
      <c r="G240" s="2">
        <v>0</v>
      </c>
      <c r="H240" s="2">
        <v>0</v>
      </c>
      <c r="I240" s="2">
        <v>0.08</v>
      </c>
      <c r="J240" s="2">
        <v>0</v>
      </c>
      <c r="K240" s="2">
        <v>0</v>
      </c>
      <c r="L240" s="4">
        <v>0.97</v>
      </c>
      <c r="M240" s="15"/>
    </row>
    <row r="241" spans="1:13" hidden="1" x14ac:dyDescent="0.25">
      <c r="A241" s="5">
        <v>45293</v>
      </c>
      <c r="B241" s="1" t="s">
        <v>23</v>
      </c>
      <c r="C241" s="1" t="s">
        <v>21</v>
      </c>
      <c r="D241" s="2">
        <v>6.1100000000000002E-2</v>
      </c>
      <c r="E241" s="3">
        <v>1</v>
      </c>
      <c r="F241" s="2">
        <v>0.12</v>
      </c>
      <c r="G241" s="2">
        <v>0</v>
      </c>
      <c r="H241" s="2">
        <v>0</v>
      </c>
      <c r="I241" s="2">
        <v>0</v>
      </c>
      <c r="J241" s="2">
        <v>4.1500000000000002E-2</v>
      </c>
      <c r="K241" s="2">
        <v>0.6</v>
      </c>
      <c r="L241" s="4">
        <v>0.97</v>
      </c>
      <c r="M241" s="15"/>
    </row>
    <row r="242" spans="1:13" hidden="1" x14ac:dyDescent="0.25">
      <c r="A242" s="5">
        <v>45293</v>
      </c>
      <c r="B242" s="1" t="s">
        <v>23</v>
      </c>
      <c r="C242" s="1" t="s">
        <v>22</v>
      </c>
      <c r="D242" s="2">
        <v>6.1100000000000002E-2</v>
      </c>
      <c r="E242" s="3">
        <v>1</v>
      </c>
      <c r="F242" s="2">
        <v>0.12</v>
      </c>
      <c r="G242" s="2">
        <v>0</v>
      </c>
      <c r="H242" s="2">
        <v>0</v>
      </c>
      <c r="I242" s="2">
        <v>0</v>
      </c>
      <c r="J242" s="2">
        <v>2.1499999999999998E-2</v>
      </c>
      <c r="K242" s="2">
        <v>0.24</v>
      </c>
      <c r="L242" s="4">
        <v>0.97</v>
      </c>
      <c r="M242" s="15"/>
    </row>
    <row r="243" spans="1:13" hidden="1" x14ac:dyDescent="0.25">
      <c r="A243" s="5">
        <v>45293</v>
      </c>
      <c r="B243" s="1" t="s">
        <v>26</v>
      </c>
      <c r="C243" s="1" t="s">
        <v>24</v>
      </c>
      <c r="D243" s="2">
        <v>2.2200000000000001E-2</v>
      </c>
      <c r="E243" s="3">
        <v>2.4</v>
      </c>
      <c r="F243" s="2">
        <v>9.9999000000000002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4">
        <v>0.97</v>
      </c>
      <c r="M243" s="15"/>
    </row>
    <row r="244" spans="1:13" hidden="1" x14ac:dyDescent="0.25">
      <c r="A244" s="5">
        <v>45293</v>
      </c>
      <c r="B244" s="1" t="s">
        <v>26</v>
      </c>
      <c r="C244" s="1" t="s">
        <v>25</v>
      </c>
      <c r="D244" s="2">
        <v>5.2499999999999998E-2</v>
      </c>
      <c r="E244" s="3">
        <v>1</v>
      </c>
      <c r="F244" s="2">
        <v>0.1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4">
        <v>0.97</v>
      </c>
      <c r="M244" s="15"/>
    </row>
    <row r="245" spans="1:13" hidden="1" x14ac:dyDescent="0.25">
      <c r="A245" s="5">
        <v>45293</v>
      </c>
      <c r="B245" s="1" t="s">
        <v>26</v>
      </c>
      <c r="C245" s="1" t="s">
        <v>13</v>
      </c>
      <c r="D245" s="2">
        <v>5.3999999999999999E-2</v>
      </c>
      <c r="E245" s="3">
        <v>1</v>
      </c>
      <c r="F245" s="2">
        <v>0.1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4">
        <v>0.97</v>
      </c>
      <c r="M245" s="15"/>
    </row>
    <row r="246" spans="1:13" hidden="1" x14ac:dyDescent="0.25">
      <c r="A246" s="5">
        <v>45293</v>
      </c>
      <c r="B246" s="1" t="s">
        <v>26</v>
      </c>
      <c r="C246" s="1" t="s">
        <v>17</v>
      </c>
      <c r="D246" s="2">
        <v>3.8100000000000002E-2</v>
      </c>
      <c r="E246" s="3">
        <v>1</v>
      </c>
      <c r="F246" s="2">
        <v>9.9999000000000002</v>
      </c>
      <c r="G246" s="2">
        <v>0</v>
      </c>
      <c r="H246" s="2">
        <v>0</v>
      </c>
      <c r="I246" s="2">
        <v>0.08</v>
      </c>
      <c r="J246" s="2">
        <v>0</v>
      </c>
      <c r="K246" s="2">
        <v>0</v>
      </c>
      <c r="L246" s="4">
        <v>0.97</v>
      </c>
      <c r="M246" s="15"/>
    </row>
    <row r="247" spans="1:13" hidden="1" x14ac:dyDescent="0.25">
      <c r="A247" s="5">
        <v>45293</v>
      </c>
      <c r="B247" s="1" t="s">
        <v>26</v>
      </c>
      <c r="C247" s="1" t="s">
        <v>21</v>
      </c>
      <c r="D247" s="2">
        <v>6.1100000000000002E-2</v>
      </c>
      <c r="E247" s="3">
        <v>1</v>
      </c>
      <c r="F247" s="2">
        <v>0.12</v>
      </c>
      <c r="G247" s="2">
        <v>0</v>
      </c>
      <c r="H247" s="2">
        <v>0</v>
      </c>
      <c r="I247" s="2">
        <v>0</v>
      </c>
      <c r="J247" s="2">
        <v>4.1500000000000002E-2</v>
      </c>
      <c r="K247" s="2">
        <v>0.6</v>
      </c>
      <c r="L247" s="4">
        <v>0.97</v>
      </c>
      <c r="M247" s="15"/>
    </row>
    <row r="248" spans="1:13" hidden="1" x14ac:dyDescent="0.25">
      <c r="A248" s="5">
        <v>45293</v>
      </c>
      <c r="B248" s="1" t="s">
        <v>26</v>
      </c>
      <c r="C248" s="1" t="s">
        <v>22</v>
      </c>
      <c r="D248" s="2">
        <v>6.1100000000000002E-2</v>
      </c>
      <c r="E248" s="3">
        <v>1</v>
      </c>
      <c r="F248" s="2">
        <v>0.12</v>
      </c>
      <c r="G248" s="2">
        <v>0</v>
      </c>
      <c r="H248" s="2">
        <v>0</v>
      </c>
      <c r="I248" s="2">
        <v>0</v>
      </c>
      <c r="J248" s="2">
        <v>2.1499999999999998E-2</v>
      </c>
      <c r="K248" s="2">
        <v>0.24</v>
      </c>
      <c r="L248" s="4">
        <v>0.97</v>
      </c>
      <c r="M248" s="15"/>
    </row>
    <row r="249" spans="1:13" hidden="1" x14ac:dyDescent="0.25">
      <c r="A249" s="5">
        <v>45293</v>
      </c>
      <c r="B249" s="1" t="s">
        <v>27</v>
      </c>
      <c r="C249" s="1" t="s">
        <v>13</v>
      </c>
      <c r="D249" s="2">
        <v>5.0799999999999998E-2</v>
      </c>
      <c r="E249" s="3">
        <v>1</v>
      </c>
      <c r="F249" s="2">
        <v>9.2499999999999999E-2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4">
        <v>0.97</v>
      </c>
      <c r="M249" s="15"/>
    </row>
    <row r="250" spans="1:13" hidden="1" x14ac:dyDescent="0.25">
      <c r="A250" s="5">
        <v>45293</v>
      </c>
      <c r="B250" s="1" t="s">
        <v>27</v>
      </c>
      <c r="C250" s="1" t="s">
        <v>17</v>
      </c>
      <c r="D250" s="2">
        <v>3.3599999999999998E-2</v>
      </c>
      <c r="E250" s="3">
        <v>1</v>
      </c>
      <c r="F250" s="2">
        <v>9.9999000000000002</v>
      </c>
      <c r="G250" s="2">
        <v>0</v>
      </c>
      <c r="H250" s="2">
        <v>0</v>
      </c>
      <c r="I250" s="2">
        <v>0.09</v>
      </c>
      <c r="J250" s="2">
        <v>0</v>
      </c>
      <c r="K250" s="2">
        <v>0</v>
      </c>
      <c r="L250" s="4">
        <v>0.97</v>
      </c>
      <c r="M250" s="15"/>
    </row>
    <row r="251" spans="1:13" hidden="1" x14ac:dyDescent="0.25">
      <c r="A251" s="5">
        <v>45293</v>
      </c>
      <c r="B251" s="1" t="s">
        <v>27</v>
      </c>
      <c r="C251" s="1" t="s">
        <v>24</v>
      </c>
      <c r="D251" s="2">
        <v>2.2200000000000001E-2</v>
      </c>
      <c r="E251" s="3">
        <v>2.2000000000000002</v>
      </c>
      <c r="F251" s="2">
        <v>9.9999000000000002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4">
        <v>0.97</v>
      </c>
      <c r="M251" s="15"/>
    </row>
    <row r="252" spans="1:13" hidden="1" x14ac:dyDescent="0.25">
      <c r="A252" s="5">
        <v>45293</v>
      </c>
      <c r="B252" s="1" t="s">
        <v>27</v>
      </c>
      <c r="C252" s="1" t="s">
        <v>25</v>
      </c>
      <c r="D252" s="2">
        <v>4.9200000000000001E-2</v>
      </c>
      <c r="E252" s="3">
        <v>1</v>
      </c>
      <c r="F252" s="2">
        <v>9.2499999999999999E-2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4">
        <v>0.97</v>
      </c>
      <c r="M252" s="15"/>
    </row>
    <row r="253" spans="1:13" hidden="1" x14ac:dyDescent="0.25">
      <c r="A253" s="5">
        <v>45293</v>
      </c>
      <c r="B253" s="1" t="s">
        <v>28</v>
      </c>
      <c r="C253" s="1" t="s">
        <v>13</v>
      </c>
      <c r="D253" s="2">
        <v>4.7600000000000003E-2</v>
      </c>
      <c r="E253" s="3">
        <v>1</v>
      </c>
      <c r="F253" s="2">
        <v>8.5000000000000006E-2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4">
        <v>0.97</v>
      </c>
      <c r="M253" s="15"/>
    </row>
    <row r="254" spans="1:13" hidden="1" x14ac:dyDescent="0.25">
      <c r="A254" s="5">
        <v>45293</v>
      </c>
      <c r="B254" s="1" t="s">
        <v>28</v>
      </c>
      <c r="C254" s="1" t="s">
        <v>16</v>
      </c>
      <c r="D254" s="2">
        <v>3.09E-2</v>
      </c>
      <c r="E254" s="3">
        <v>1</v>
      </c>
      <c r="F254" s="2">
        <v>7.0000000000000007E-2</v>
      </c>
      <c r="G254" s="2">
        <v>1.4999999999999999E-2</v>
      </c>
      <c r="H254" s="2">
        <v>0</v>
      </c>
      <c r="I254" s="2">
        <v>0</v>
      </c>
      <c r="J254" s="2">
        <v>0</v>
      </c>
      <c r="K254" s="2">
        <v>0</v>
      </c>
      <c r="L254" s="4">
        <v>0.97</v>
      </c>
      <c r="M254" s="15"/>
    </row>
    <row r="255" spans="1:13" hidden="1" x14ac:dyDescent="0.25">
      <c r="A255" s="5">
        <v>45293</v>
      </c>
      <c r="B255" s="1" t="s">
        <v>28</v>
      </c>
      <c r="C255" s="1" t="s">
        <v>17</v>
      </c>
      <c r="D255" s="2">
        <v>3.9199999999999999E-2</v>
      </c>
      <c r="E255" s="3">
        <v>1</v>
      </c>
      <c r="F255" s="2">
        <v>9.9999000000000002</v>
      </c>
      <c r="G255" s="2">
        <v>0</v>
      </c>
      <c r="H255" s="2">
        <v>0</v>
      </c>
      <c r="I255" s="2">
        <v>7.7499999999999999E-2</v>
      </c>
      <c r="J255" s="2">
        <v>0</v>
      </c>
      <c r="K255" s="2">
        <v>0</v>
      </c>
      <c r="L255" s="4">
        <v>0.97</v>
      </c>
      <c r="M255" s="15"/>
    </row>
    <row r="256" spans="1:13" hidden="1" x14ac:dyDescent="0.25">
      <c r="A256" s="5">
        <v>45293</v>
      </c>
      <c r="B256" s="1" t="s">
        <v>28</v>
      </c>
      <c r="C256" s="1" t="s">
        <v>18</v>
      </c>
      <c r="D256" s="2">
        <v>4.6800000000000001E-2</v>
      </c>
      <c r="E256" s="3">
        <v>1</v>
      </c>
      <c r="F256" s="2">
        <v>9.9999000000000002</v>
      </c>
      <c r="G256" s="2">
        <v>0</v>
      </c>
      <c r="H256" s="2">
        <v>6.5000000000000002E-2</v>
      </c>
      <c r="I256" s="2">
        <v>0</v>
      </c>
      <c r="J256" s="2">
        <v>0</v>
      </c>
      <c r="K256" s="2">
        <v>0</v>
      </c>
      <c r="L256" s="4">
        <v>0.97</v>
      </c>
      <c r="M256" s="15"/>
    </row>
    <row r="257" spans="1:13" hidden="1" x14ac:dyDescent="0.25">
      <c r="A257" s="5">
        <v>45293</v>
      </c>
      <c r="B257" s="1" t="s">
        <v>29</v>
      </c>
      <c r="C257" s="1" t="s">
        <v>13</v>
      </c>
      <c r="D257" s="2">
        <v>4.41E-2</v>
      </c>
      <c r="E257" s="3">
        <v>1</v>
      </c>
      <c r="F257" s="2">
        <v>7.7499999999999999E-2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4">
        <v>0.97</v>
      </c>
      <c r="M257" s="15"/>
    </row>
    <row r="258" spans="1:13" hidden="1" x14ac:dyDescent="0.25">
      <c r="A258" s="5">
        <v>45293</v>
      </c>
      <c r="B258" s="1" t="s">
        <v>29</v>
      </c>
      <c r="C258" s="1" t="s">
        <v>16</v>
      </c>
      <c r="D258" s="2">
        <v>2.46E-2</v>
      </c>
      <c r="E258" s="3">
        <v>1</v>
      </c>
      <c r="F258" s="2">
        <v>5.7500000000000002E-2</v>
      </c>
      <c r="G258" s="2">
        <v>1.4999999999999999E-2</v>
      </c>
      <c r="H258" s="2">
        <v>0</v>
      </c>
      <c r="I258" s="2">
        <v>0</v>
      </c>
      <c r="J258" s="2">
        <v>0</v>
      </c>
      <c r="K258" s="2">
        <v>0</v>
      </c>
      <c r="L258" s="4">
        <v>0.97</v>
      </c>
      <c r="M258" s="15"/>
    </row>
    <row r="259" spans="1:13" hidden="1" x14ac:dyDescent="0.25">
      <c r="A259" s="5">
        <v>45293</v>
      </c>
      <c r="B259" s="1" t="s">
        <v>29</v>
      </c>
      <c r="C259" s="1" t="s">
        <v>17</v>
      </c>
      <c r="D259" s="2">
        <v>3.49E-2</v>
      </c>
      <c r="E259" s="3">
        <v>1</v>
      </c>
      <c r="F259" s="2">
        <v>9.9999000000000002</v>
      </c>
      <c r="G259" s="2">
        <v>0</v>
      </c>
      <c r="H259" s="2">
        <v>0</v>
      </c>
      <c r="I259" s="2">
        <v>8.6999999999999994E-2</v>
      </c>
      <c r="J259" s="2">
        <v>0</v>
      </c>
      <c r="K259" s="2">
        <v>0</v>
      </c>
      <c r="L259" s="4">
        <v>0.97</v>
      </c>
      <c r="M259" s="15"/>
    </row>
    <row r="260" spans="1:13" hidden="1" x14ac:dyDescent="0.25">
      <c r="A260" s="5">
        <v>45293</v>
      </c>
      <c r="B260" s="1" t="s">
        <v>29</v>
      </c>
      <c r="C260" s="1" t="s">
        <v>18</v>
      </c>
      <c r="D260" s="2">
        <v>4.1000000000000002E-2</v>
      </c>
      <c r="E260" s="3">
        <v>1</v>
      </c>
      <c r="F260" s="2">
        <v>9.9999000000000002</v>
      </c>
      <c r="G260" s="2">
        <v>0</v>
      </c>
      <c r="H260" s="2">
        <v>5.7000000000000002E-2</v>
      </c>
      <c r="I260" s="2">
        <v>0</v>
      </c>
      <c r="J260" s="2">
        <v>0</v>
      </c>
      <c r="K260" s="2">
        <v>0</v>
      </c>
      <c r="L260" s="4">
        <v>0.97</v>
      </c>
      <c r="M260" s="15"/>
    </row>
    <row r="261" spans="1:13" hidden="1" x14ac:dyDescent="0.25">
      <c r="A261" s="5">
        <v>45323</v>
      </c>
      <c r="B261" s="1" t="s">
        <v>12</v>
      </c>
      <c r="C261" s="1" t="s">
        <v>13</v>
      </c>
      <c r="D261" s="2">
        <v>5.1700000000000003E-2</v>
      </c>
      <c r="E261" s="3">
        <v>1</v>
      </c>
      <c r="F261" s="2">
        <v>9.7500000000000003E-2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4">
        <v>0.97</v>
      </c>
      <c r="M261" s="15"/>
    </row>
    <row r="262" spans="1:13" hidden="1" x14ac:dyDescent="0.25">
      <c r="A262" s="5">
        <v>45323</v>
      </c>
      <c r="B262" s="1" t="s">
        <v>15</v>
      </c>
      <c r="C262" s="1" t="s">
        <v>13</v>
      </c>
      <c r="D262" s="2">
        <v>5.1700000000000003E-2</v>
      </c>
      <c r="E262" s="3">
        <v>1</v>
      </c>
      <c r="F262" s="2">
        <v>9.7500000000000003E-2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4">
        <v>0.97</v>
      </c>
      <c r="M262" s="15"/>
    </row>
    <row r="263" spans="1:13" hidden="1" x14ac:dyDescent="0.25">
      <c r="A263" s="5">
        <v>45323</v>
      </c>
      <c r="B263" s="1" t="s">
        <v>15</v>
      </c>
      <c r="C263" s="1" t="s">
        <v>16</v>
      </c>
      <c r="D263" s="2">
        <v>3.6999999999999998E-2</v>
      </c>
      <c r="E263" s="3">
        <v>1</v>
      </c>
      <c r="F263" s="2">
        <v>8.5000000000000006E-2</v>
      </c>
      <c r="G263" s="2">
        <v>1.4999999999999999E-2</v>
      </c>
      <c r="H263" s="2">
        <v>0</v>
      </c>
      <c r="I263" s="2">
        <v>0</v>
      </c>
      <c r="J263" s="2">
        <v>0</v>
      </c>
      <c r="K263" s="2">
        <v>0</v>
      </c>
      <c r="L263" s="4">
        <v>0.97</v>
      </c>
      <c r="M263" s="15"/>
    </row>
    <row r="264" spans="1:13" hidden="1" x14ac:dyDescent="0.25">
      <c r="A264" s="5">
        <v>45323</v>
      </c>
      <c r="B264" s="1" t="s">
        <v>15</v>
      </c>
      <c r="C264" s="1" t="s">
        <v>17</v>
      </c>
      <c r="D264" s="2">
        <v>3.4599999999999999E-2</v>
      </c>
      <c r="E264" s="3">
        <v>1</v>
      </c>
      <c r="F264" s="2">
        <v>9.9999000000000002</v>
      </c>
      <c r="G264" s="2">
        <v>0</v>
      </c>
      <c r="H264" s="2">
        <v>0</v>
      </c>
      <c r="I264" s="2">
        <v>0.08</v>
      </c>
      <c r="J264" s="2">
        <v>0</v>
      </c>
      <c r="K264" s="2">
        <v>0</v>
      </c>
      <c r="L264" s="4">
        <v>0.97</v>
      </c>
      <c r="M264" s="15"/>
    </row>
    <row r="265" spans="1:13" hidden="1" x14ac:dyDescent="0.25">
      <c r="A265" s="5">
        <v>45323</v>
      </c>
      <c r="B265" s="1" t="s">
        <v>15</v>
      </c>
      <c r="C265" s="1" t="s">
        <v>18</v>
      </c>
      <c r="D265" s="2">
        <v>5.3699999999999998E-2</v>
      </c>
      <c r="E265" s="3">
        <v>1</v>
      </c>
      <c r="F265" s="2">
        <v>9.9999000000000002</v>
      </c>
      <c r="G265" s="2">
        <v>0</v>
      </c>
      <c r="H265" s="2">
        <v>7.4999999999999997E-2</v>
      </c>
      <c r="I265" s="2">
        <v>0</v>
      </c>
      <c r="J265" s="2">
        <v>0</v>
      </c>
      <c r="K265" s="2">
        <v>0</v>
      </c>
      <c r="L265" s="4">
        <v>0.97</v>
      </c>
      <c r="M265" s="15"/>
    </row>
    <row r="266" spans="1:13" hidden="1" x14ac:dyDescent="0.25">
      <c r="A266" s="5">
        <v>45323</v>
      </c>
      <c r="B266" s="1" t="s">
        <v>19</v>
      </c>
      <c r="C266" s="1" t="s">
        <v>13</v>
      </c>
      <c r="D266" s="2">
        <v>4.1000000000000002E-2</v>
      </c>
      <c r="E266" s="3">
        <v>1</v>
      </c>
      <c r="F266" s="2">
        <v>7.2499999999999995E-2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4">
        <v>0.97</v>
      </c>
      <c r="M266" s="15"/>
    </row>
    <row r="267" spans="1:13" hidden="1" x14ac:dyDescent="0.25">
      <c r="A267" s="5">
        <v>45323</v>
      </c>
      <c r="B267" s="1" t="s">
        <v>19</v>
      </c>
      <c r="C267" s="1" t="s">
        <v>16</v>
      </c>
      <c r="D267" s="2">
        <v>2.5399999999999999E-2</v>
      </c>
      <c r="E267" s="3">
        <v>1</v>
      </c>
      <c r="F267" s="2">
        <v>0.06</v>
      </c>
      <c r="G267" s="2">
        <v>1.4999999999999999E-2</v>
      </c>
      <c r="H267" s="2">
        <v>0</v>
      </c>
      <c r="I267" s="2">
        <v>0</v>
      </c>
      <c r="J267" s="2">
        <v>0</v>
      </c>
      <c r="K267" s="2">
        <v>0</v>
      </c>
      <c r="L267" s="4">
        <v>0.97</v>
      </c>
      <c r="M267" s="15"/>
    </row>
    <row r="268" spans="1:13" hidden="1" x14ac:dyDescent="0.25">
      <c r="A268" s="5">
        <v>45323</v>
      </c>
      <c r="B268" s="1" t="s">
        <v>19</v>
      </c>
      <c r="C268" s="1" t="s">
        <v>17</v>
      </c>
      <c r="D268" s="2">
        <v>3.0300000000000001E-2</v>
      </c>
      <c r="E268" s="3">
        <v>1</v>
      </c>
      <c r="F268" s="2">
        <v>9.9999000000000002</v>
      </c>
      <c r="G268" s="2">
        <v>0</v>
      </c>
      <c r="H268" s="2">
        <v>0</v>
      </c>
      <c r="I268" s="2">
        <v>0.09</v>
      </c>
      <c r="J268" s="2">
        <v>0</v>
      </c>
      <c r="K268" s="2">
        <v>0</v>
      </c>
      <c r="L268" s="4">
        <v>0.97</v>
      </c>
      <c r="M268" s="15"/>
    </row>
    <row r="269" spans="1:13" hidden="1" x14ac:dyDescent="0.25">
      <c r="A269" s="5">
        <v>45323</v>
      </c>
      <c r="B269" s="1" t="s">
        <v>19</v>
      </c>
      <c r="C269" s="1" t="s">
        <v>18</v>
      </c>
      <c r="D269" s="2">
        <v>4.2900000000000001E-2</v>
      </c>
      <c r="E269" s="3">
        <v>1</v>
      </c>
      <c r="F269" s="2">
        <v>9.9999000000000002</v>
      </c>
      <c r="G269" s="2">
        <v>0</v>
      </c>
      <c r="H269" s="2">
        <v>0.06</v>
      </c>
      <c r="I269" s="2">
        <v>0</v>
      </c>
      <c r="J269" s="2">
        <v>0</v>
      </c>
      <c r="K269" s="2">
        <v>0</v>
      </c>
      <c r="L269" s="4">
        <v>0.97</v>
      </c>
      <c r="M269" s="15"/>
    </row>
    <row r="270" spans="1:13" hidden="1" x14ac:dyDescent="0.25">
      <c r="A270" s="5">
        <v>45323</v>
      </c>
      <c r="B270" s="1" t="s">
        <v>20</v>
      </c>
      <c r="C270" s="1" t="s">
        <v>13</v>
      </c>
      <c r="D270" s="2">
        <v>5.1700000000000003E-2</v>
      </c>
      <c r="E270" s="3">
        <v>1</v>
      </c>
      <c r="F270" s="2">
        <v>9.7500000000000003E-2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4">
        <v>0.97</v>
      </c>
      <c r="M270" s="15"/>
    </row>
    <row r="271" spans="1:13" hidden="1" x14ac:dyDescent="0.25">
      <c r="A271" s="5">
        <v>45323</v>
      </c>
      <c r="B271" s="1" t="s">
        <v>20</v>
      </c>
      <c r="C271" s="1" t="s">
        <v>17</v>
      </c>
      <c r="D271" s="2">
        <v>3.4599999999999999E-2</v>
      </c>
      <c r="E271" s="3">
        <v>1</v>
      </c>
      <c r="F271" s="2">
        <v>9.9999000000000002</v>
      </c>
      <c r="G271" s="2">
        <v>0</v>
      </c>
      <c r="H271" s="2">
        <v>0</v>
      </c>
      <c r="I271" s="2">
        <v>0.08</v>
      </c>
      <c r="J271" s="2">
        <v>0</v>
      </c>
      <c r="K271" s="2">
        <v>0</v>
      </c>
      <c r="L271" s="4">
        <v>0.97</v>
      </c>
      <c r="M271" s="15"/>
    </row>
    <row r="272" spans="1:13" hidden="1" x14ac:dyDescent="0.25">
      <c r="A272" s="5">
        <v>45323</v>
      </c>
      <c r="B272" s="1" t="s">
        <v>20</v>
      </c>
      <c r="C272" s="1" t="s">
        <v>21</v>
      </c>
      <c r="D272" s="2">
        <v>5.9299999999999999E-2</v>
      </c>
      <c r="E272" s="3">
        <v>1</v>
      </c>
      <c r="F272" s="2">
        <v>0.12</v>
      </c>
      <c r="G272" s="2">
        <v>0</v>
      </c>
      <c r="H272" s="2">
        <v>0</v>
      </c>
      <c r="I272" s="2">
        <v>0</v>
      </c>
      <c r="J272" s="2">
        <v>4.1500000000000002E-2</v>
      </c>
      <c r="K272" s="2">
        <v>0.6</v>
      </c>
      <c r="L272" s="4">
        <v>0.97</v>
      </c>
      <c r="M272" s="15"/>
    </row>
    <row r="273" spans="1:13" hidden="1" x14ac:dyDescent="0.25">
      <c r="A273" s="5">
        <v>45323</v>
      </c>
      <c r="B273" s="1" t="s">
        <v>20</v>
      </c>
      <c r="C273" s="1" t="s">
        <v>22</v>
      </c>
      <c r="D273" s="2">
        <v>5.9299999999999999E-2</v>
      </c>
      <c r="E273" s="3">
        <v>1</v>
      </c>
      <c r="F273" s="2">
        <v>0.12</v>
      </c>
      <c r="G273" s="2">
        <v>0</v>
      </c>
      <c r="H273" s="2">
        <v>0</v>
      </c>
      <c r="I273" s="2">
        <v>0</v>
      </c>
      <c r="J273" s="2">
        <v>2.1499999999999998E-2</v>
      </c>
      <c r="K273" s="2">
        <v>0.24</v>
      </c>
      <c r="L273" s="4">
        <v>0.97</v>
      </c>
      <c r="M273" s="15"/>
    </row>
    <row r="274" spans="1:13" hidden="1" x14ac:dyDescent="0.25">
      <c r="A274" s="5">
        <v>45323</v>
      </c>
      <c r="B274" s="1" t="s">
        <v>23</v>
      </c>
      <c r="C274" s="1" t="s">
        <v>24</v>
      </c>
      <c r="D274" s="2">
        <v>2.24E-2</v>
      </c>
      <c r="E274" s="3">
        <v>2.4</v>
      </c>
      <c r="F274" s="2">
        <v>9.9999000000000002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4">
        <v>0.97</v>
      </c>
      <c r="M274" s="15"/>
    </row>
    <row r="275" spans="1:13" hidden="1" x14ac:dyDescent="0.25">
      <c r="A275" s="5">
        <v>45323</v>
      </c>
      <c r="B275" s="1" t="s">
        <v>23</v>
      </c>
      <c r="C275" s="1" t="s">
        <v>25</v>
      </c>
      <c r="D275" s="2">
        <v>5.2999999999999999E-2</v>
      </c>
      <c r="E275" s="3">
        <v>1</v>
      </c>
      <c r="F275" s="2">
        <v>0.10249999999999999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4">
        <v>0.97</v>
      </c>
      <c r="M275" s="15"/>
    </row>
    <row r="276" spans="1:13" hidden="1" x14ac:dyDescent="0.25">
      <c r="A276" s="5">
        <v>45323</v>
      </c>
      <c r="B276" s="1" t="s">
        <v>23</v>
      </c>
      <c r="C276" s="1" t="s">
        <v>13</v>
      </c>
      <c r="D276" s="2">
        <v>5.3600000000000002E-2</v>
      </c>
      <c r="E276" s="3">
        <v>1</v>
      </c>
      <c r="F276" s="2">
        <v>0.10249999999999999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4">
        <v>0.97</v>
      </c>
      <c r="M276" s="15"/>
    </row>
    <row r="277" spans="1:13" hidden="1" x14ac:dyDescent="0.25">
      <c r="A277" s="5">
        <v>45323</v>
      </c>
      <c r="B277" s="1" t="s">
        <v>23</v>
      </c>
      <c r="C277" s="1" t="s">
        <v>17</v>
      </c>
      <c r="D277" s="2">
        <v>3.4599999999999999E-2</v>
      </c>
      <c r="E277" s="3">
        <v>1</v>
      </c>
      <c r="F277" s="2">
        <v>9.9999000000000002</v>
      </c>
      <c r="G277" s="2">
        <v>0</v>
      </c>
      <c r="H277" s="2">
        <v>0</v>
      </c>
      <c r="I277" s="2">
        <v>0.08</v>
      </c>
      <c r="J277" s="2">
        <v>0</v>
      </c>
      <c r="K277" s="2">
        <v>0</v>
      </c>
      <c r="L277" s="4">
        <v>0.97</v>
      </c>
      <c r="M277" s="15"/>
    </row>
    <row r="278" spans="1:13" hidden="1" x14ac:dyDescent="0.25">
      <c r="A278" s="5">
        <v>45323</v>
      </c>
      <c r="B278" s="1" t="s">
        <v>23</v>
      </c>
      <c r="C278" s="1" t="s">
        <v>21</v>
      </c>
      <c r="D278" s="2">
        <v>5.9299999999999999E-2</v>
      </c>
      <c r="E278" s="3">
        <v>1</v>
      </c>
      <c r="F278" s="2">
        <v>0.12</v>
      </c>
      <c r="G278" s="2">
        <v>0</v>
      </c>
      <c r="H278" s="2">
        <v>0</v>
      </c>
      <c r="I278" s="2">
        <v>0</v>
      </c>
      <c r="J278" s="2">
        <v>4.1500000000000002E-2</v>
      </c>
      <c r="K278" s="2">
        <v>0.6</v>
      </c>
      <c r="L278" s="4">
        <v>0.97</v>
      </c>
      <c r="M278" s="15"/>
    </row>
    <row r="279" spans="1:13" hidden="1" x14ac:dyDescent="0.25">
      <c r="A279" s="5">
        <v>45323</v>
      </c>
      <c r="B279" s="1" t="s">
        <v>23</v>
      </c>
      <c r="C279" s="1" t="s">
        <v>22</v>
      </c>
      <c r="D279" s="2">
        <v>5.9299999999999999E-2</v>
      </c>
      <c r="E279" s="3">
        <v>1</v>
      </c>
      <c r="F279" s="2">
        <v>0.12</v>
      </c>
      <c r="G279" s="2">
        <v>0</v>
      </c>
      <c r="H279" s="2">
        <v>0</v>
      </c>
      <c r="I279" s="2">
        <v>0</v>
      </c>
      <c r="J279" s="2">
        <v>2.1499999999999998E-2</v>
      </c>
      <c r="K279" s="2">
        <v>0.24</v>
      </c>
      <c r="L279" s="4">
        <v>0.97</v>
      </c>
      <c r="M279" s="15"/>
    </row>
    <row r="280" spans="1:13" hidden="1" x14ac:dyDescent="0.25">
      <c r="A280" s="5">
        <v>45323</v>
      </c>
      <c r="B280" s="1" t="s">
        <v>26</v>
      </c>
      <c r="C280" s="1" t="s">
        <v>24</v>
      </c>
      <c r="D280" s="2">
        <v>2.24E-2</v>
      </c>
      <c r="E280" s="3">
        <v>2.4</v>
      </c>
      <c r="F280" s="2">
        <v>9.9999000000000002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4">
        <v>0.97</v>
      </c>
      <c r="M280" s="15"/>
    </row>
    <row r="281" spans="1:13" hidden="1" x14ac:dyDescent="0.25">
      <c r="A281" s="5">
        <v>45323</v>
      </c>
      <c r="B281" s="1" t="s">
        <v>26</v>
      </c>
      <c r="C281" s="1" t="s">
        <v>25</v>
      </c>
      <c r="D281" s="2">
        <v>5.1999999999999998E-2</v>
      </c>
      <c r="E281" s="3">
        <v>1</v>
      </c>
      <c r="F281" s="2">
        <v>0.1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4">
        <v>0.97</v>
      </c>
      <c r="M281" s="15"/>
    </row>
    <row r="282" spans="1:13" hidden="1" x14ac:dyDescent="0.25">
      <c r="A282" s="5">
        <v>45323</v>
      </c>
      <c r="B282" s="1" t="s">
        <v>26</v>
      </c>
      <c r="C282" s="1" t="s">
        <v>13</v>
      </c>
      <c r="D282" s="2">
        <v>5.2699999999999997E-2</v>
      </c>
      <c r="E282" s="3">
        <v>1</v>
      </c>
      <c r="F282" s="2">
        <v>0.1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4">
        <v>0.97</v>
      </c>
      <c r="M282" s="15"/>
    </row>
    <row r="283" spans="1:13" hidden="1" x14ac:dyDescent="0.25">
      <c r="A283" s="5">
        <v>45323</v>
      </c>
      <c r="B283" s="1" t="s">
        <v>26</v>
      </c>
      <c r="C283" s="1" t="s">
        <v>17</v>
      </c>
      <c r="D283" s="2">
        <v>3.4599999999999999E-2</v>
      </c>
      <c r="E283" s="3">
        <v>1</v>
      </c>
      <c r="F283" s="2">
        <v>9.9999000000000002</v>
      </c>
      <c r="G283" s="2">
        <v>0</v>
      </c>
      <c r="H283" s="2">
        <v>0</v>
      </c>
      <c r="I283" s="2">
        <v>0.08</v>
      </c>
      <c r="J283" s="2">
        <v>0</v>
      </c>
      <c r="K283" s="2">
        <v>0</v>
      </c>
      <c r="L283" s="4">
        <v>0.97</v>
      </c>
      <c r="M283" s="15"/>
    </row>
    <row r="284" spans="1:13" hidden="1" x14ac:dyDescent="0.25">
      <c r="A284" s="5">
        <v>45323</v>
      </c>
      <c r="B284" s="1" t="s">
        <v>26</v>
      </c>
      <c r="C284" s="1" t="s">
        <v>21</v>
      </c>
      <c r="D284" s="2">
        <v>5.9299999999999999E-2</v>
      </c>
      <c r="E284" s="3">
        <v>1</v>
      </c>
      <c r="F284" s="2">
        <v>0.12</v>
      </c>
      <c r="G284" s="2">
        <v>0</v>
      </c>
      <c r="H284" s="2">
        <v>0</v>
      </c>
      <c r="I284" s="2">
        <v>0</v>
      </c>
      <c r="J284" s="2">
        <v>4.1500000000000002E-2</v>
      </c>
      <c r="K284" s="2">
        <v>0.6</v>
      </c>
      <c r="L284" s="4">
        <v>0.97</v>
      </c>
      <c r="M284" s="15"/>
    </row>
    <row r="285" spans="1:13" hidden="1" x14ac:dyDescent="0.25">
      <c r="A285" s="5">
        <v>45323</v>
      </c>
      <c r="B285" s="1" t="s">
        <v>26</v>
      </c>
      <c r="C285" s="1" t="s">
        <v>22</v>
      </c>
      <c r="D285" s="2">
        <v>5.9299999999999999E-2</v>
      </c>
      <c r="E285" s="3">
        <v>1</v>
      </c>
      <c r="F285" s="2">
        <v>0.12</v>
      </c>
      <c r="G285" s="2">
        <v>0</v>
      </c>
      <c r="H285" s="2">
        <v>0</v>
      </c>
      <c r="I285" s="2">
        <v>0</v>
      </c>
      <c r="J285" s="2">
        <v>2.1499999999999998E-2</v>
      </c>
      <c r="K285" s="2">
        <v>0.24</v>
      </c>
      <c r="L285" s="4">
        <v>0.97</v>
      </c>
      <c r="M285" s="15"/>
    </row>
    <row r="286" spans="1:13" hidden="1" x14ac:dyDescent="0.25">
      <c r="A286" s="5">
        <v>45323</v>
      </c>
      <c r="B286" s="1" t="s">
        <v>27</v>
      </c>
      <c r="C286" s="1" t="s">
        <v>13</v>
      </c>
      <c r="D286" s="2">
        <v>4.9700000000000001E-2</v>
      </c>
      <c r="E286" s="3">
        <v>1</v>
      </c>
      <c r="F286" s="2">
        <v>9.2499999999999999E-2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4">
        <v>0.97</v>
      </c>
      <c r="M286" s="15"/>
    </row>
    <row r="287" spans="1:13" hidden="1" x14ac:dyDescent="0.25">
      <c r="A287" s="5">
        <v>45323</v>
      </c>
      <c r="B287" s="1" t="s">
        <v>27</v>
      </c>
      <c r="C287" s="1" t="s">
        <v>17</v>
      </c>
      <c r="D287" s="2">
        <v>3.0300000000000001E-2</v>
      </c>
      <c r="E287" s="3">
        <v>1</v>
      </c>
      <c r="F287" s="2">
        <v>9.9999000000000002</v>
      </c>
      <c r="G287" s="2">
        <v>0</v>
      </c>
      <c r="H287" s="2">
        <v>0</v>
      </c>
      <c r="I287" s="2">
        <v>0.09</v>
      </c>
      <c r="J287" s="2">
        <v>0</v>
      </c>
      <c r="K287" s="2">
        <v>0</v>
      </c>
      <c r="L287" s="4">
        <v>0.97</v>
      </c>
      <c r="M287" s="15"/>
    </row>
    <row r="288" spans="1:13" hidden="1" x14ac:dyDescent="0.25">
      <c r="A288" s="5">
        <v>45323</v>
      </c>
      <c r="B288" s="1" t="s">
        <v>27</v>
      </c>
      <c r="C288" s="1" t="s">
        <v>24</v>
      </c>
      <c r="D288" s="2">
        <v>2.24E-2</v>
      </c>
      <c r="E288" s="3">
        <v>2.2000000000000002</v>
      </c>
      <c r="F288" s="2">
        <v>9.9999000000000002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4">
        <v>0.97</v>
      </c>
      <c r="M288" s="15"/>
    </row>
    <row r="289" spans="1:13" hidden="1" x14ac:dyDescent="0.25">
      <c r="A289" s="5">
        <v>45323</v>
      </c>
      <c r="B289" s="1" t="s">
        <v>27</v>
      </c>
      <c r="C289" s="1" t="s">
        <v>25</v>
      </c>
      <c r="D289" s="2">
        <v>4.8800000000000003E-2</v>
      </c>
      <c r="E289" s="3">
        <v>1</v>
      </c>
      <c r="F289" s="2">
        <v>9.2499999999999999E-2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4">
        <v>0.97</v>
      </c>
      <c r="M289" s="15"/>
    </row>
    <row r="290" spans="1:13" hidden="1" x14ac:dyDescent="0.25">
      <c r="A290" s="5">
        <v>45323</v>
      </c>
      <c r="B290" s="1" t="s">
        <v>28</v>
      </c>
      <c r="C290" s="1" t="s">
        <v>13</v>
      </c>
      <c r="D290" s="2">
        <v>4.6600000000000003E-2</v>
      </c>
      <c r="E290" s="3">
        <v>1</v>
      </c>
      <c r="F290" s="2">
        <v>8.5000000000000006E-2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4">
        <v>0.97</v>
      </c>
      <c r="M290" s="15"/>
    </row>
    <row r="291" spans="1:13" hidden="1" x14ac:dyDescent="0.25">
      <c r="A291" s="5">
        <v>45323</v>
      </c>
      <c r="B291" s="1" t="s">
        <v>28</v>
      </c>
      <c r="C291" s="1" t="s">
        <v>16</v>
      </c>
      <c r="D291" s="2">
        <v>3.0300000000000001E-2</v>
      </c>
      <c r="E291" s="3">
        <v>1</v>
      </c>
      <c r="F291" s="2">
        <v>7.0000000000000007E-2</v>
      </c>
      <c r="G291" s="2">
        <v>1.4999999999999999E-2</v>
      </c>
      <c r="H291" s="2">
        <v>0</v>
      </c>
      <c r="I291" s="2">
        <v>0</v>
      </c>
      <c r="J291" s="2">
        <v>0</v>
      </c>
      <c r="K291" s="2">
        <v>0</v>
      </c>
      <c r="L291" s="4">
        <v>0.97</v>
      </c>
      <c r="M291" s="15"/>
    </row>
    <row r="292" spans="1:13" hidden="1" x14ac:dyDescent="0.25">
      <c r="A292" s="5">
        <v>45323</v>
      </c>
      <c r="B292" s="1" t="s">
        <v>28</v>
      </c>
      <c r="C292" s="1" t="s">
        <v>17</v>
      </c>
      <c r="D292" s="2">
        <v>3.5700000000000003E-2</v>
      </c>
      <c r="E292" s="3">
        <v>1</v>
      </c>
      <c r="F292" s="2">
        <v>9.9999000000000002</v>
      </c>
      <c r="G292" s="2">
        <v>0</v>
      </c>
      <c r="H292" s="2">
        <v>0</v>
      </c>
      <c r="I292" s="2">
        <v>7.7499999999999999E-2</v>
      </c>
      <c r="J292" s="2">
        <v>0</v>
      </c>
      <c r="K292" s="2">
        <v>0</v>
      </c>
      <c r="L292" s="4">
        <v>0.97</v>
      </c>
      <c r="M292" s="15"/>
    </row>
    <row r="293" spans="1:13" hidden="1" x14ac:dyDescent="0.25">
      <c r="A293" s="5">
        <v>45323</v>
      </c>
      <c r="B293" s="1" t="s">
        <v>28</v>
      </c>
      <c r="C293" s="1" t="s">
        <v>18</v>
      </c>
      <c r="D293" s="2">
        <v>4.65E-2</v>
      </c>
      <c r="E293" s="3">
        <v>1</v>
      </c>
      <c r="F293" s="2">
        <v>9.9999000000000002</v>
      </c>
      <c r="G293" s="2">
        <v>0</v>
      </c>
      <c r="H293" s="2">
        <v>6.5000000000000002E-2</v>
      </c>
      <c r="I293" s="2">
        <v>0</v>
      </c>
      <c r="J293" s="2">
        <v>0</v>
      </c>
      <c r="K293" s="2">
        <v>0</v>
      </c>
      <c r="L293" s="4">
        <v>0.97</v>
      </c>
      <c r="M293" s="15"/>
    </row>
    <row r="294" spans="1:13" hidden="1" x14ac:dyDescent="0.25">
      <c r="A294" s="5">
        <v>45323</v>
      </c>
      <c r="B294" s="1" t="s">
        <v>29</v>
      </c>
      <c r="C294" s="1" t="s">
        <v>13</v>
      </c>
      <c r="D294" s="2">
        <v>4.3299999999999998E-2</v>
      </c>
      <c r="E294" s="3">
        <v>1</v>
      </c>
      <c r="F294" s="2">
        <v>7.7499999999999999E-2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4">
        <v>0.97</v>
      </c>
      <c r="M294" s="15"/>
    </row>
    <row r="295" spans="1:13" hidden="1" x14ac:dyDescent="0.25">
      <c r="A295" s="5">
        <v>45323</v>
      </c>
      <c r="B295" s="1" t="s">
        <v>29</v>
      </c>
      <c r="C295" s="1" t="s">
        <v>16</v>
      </c>
      <c r="D295" s="2">
        <v>2.4199999999999999E-2</v>
      </c>
      <c r="E295" s="3">
        <v>1</v>
      </c>
      <c r="F295" s="2">
        <v>5.7500000000000002E-2</v>
      </c>
      <c r="G295" s="2">
        <v>1.4999999999999999E-2</v>
      </c>
      <c r="H295" s="2">
        <v>0</v>
      </c>
      <c r="I295" s="2">
        <v>0</v>
      </c>
      <c r="J295" s="2">
        <v>0</v>
      </c>
      <c r="K295" s="2">
        <v>0</v>
      </c>
      <c r="L295" s="4">
        <v>0.97</v>
      </c>
      <c r="M295" s="15"/>
    </row>
    <row r="296" spans="1:13" hidden="1" x14ac:dyDescent="0.25">
      <c r="A296" s="5">
        <v>45323</v>
      </c>
      <c r="B296" s="1" t="s">
        <v>29</v>
      </c>
      <c r="C296" s="1" t="s">
        <v>17</v>
      </c>
      <c r="D296" s="2">
        <v>3.15E-2</v>
      </c>
      <c r="E296" s="3">
        <v>1</v>
      </c>
      <c r="F296" s="2">
        <v>9.9999000000000002</v>
      </c>
      <c r="G296" s="2">
        <v>0</v>
      </c>
      <c r="H296" s="2">
        <v>0</v>
      </c>
      <c r="I296" s="2">
        <v>8.6999999999999994E-2</v>
      </c>
      <c r="J296" s="2">
        <v>0</v>
      </c>
      <c r="K296" s="2">
        <v>0</v>
      </c>
      <c r="L296" s="4">
        <v>0.97</v>
      </c>
      <c r="M296" s="15"/>
    </row>
    <row r="297" spans="1:13" hidden="1" x14ac:dyDescent="0.25">
      <c r="A297" s="5">
        <v>45323</v>
      </c>
      <c r="B297" s="1" t="s">
        <v>29</v>
      </c>
      <c r="C297" s="1" t="s">
        <v>18</v>
      </c>
      <c r="D297" s="2">
        <v>4.0800000000000003E-2</v>
      </c>
      <c r="E297" s="3">
        <v>1</v>
      </c>
      <c r="F297" s="2">
        <v>9.9999000000000002</v>
      </c>
      <c r="G297" s="2">
        <v>0</v>
      </c>
      <c r="H297" s="2">
        <v>5.7000000000000002E-2</v>
      </c>
      <c r="I297" s="2">
        <v>0</v>
      </c>
      <c r="J297" s="2">
        <v>0</v>
      </c>
      <c r="K297" s="2">
        <v>0</v>
      </c>
      <c r="L297" s="4">
        <v>0.97</v>
      </c>
      <c r="M297" s="15"/>
    </row>
    <row r="298" spans="1:13" hidden="1" x14ac:dyDescent="0.25">
      <c r="A298" s="5">
        <v>45352</v>
      </c>
      <c r="B298" s="1" t="s">
        <v>12</v>
      </c>
      <c r="C298" s="1" t="s">
        <v>13</v>
      </c>
      <c r="D298" s="2">
        <v>5.2200000000000003E-2</v>
      </c>
      <c r="E298" s="3">
        <v>1</v>
      </c>
      <c r="F298" s="2">
        <v>9.7500000000000003E-2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4">
        <v>0.97</v>
      </c>
      <c r="M298" s="15"/>
    </row>
    <row r="299" spans="1:13" hidden="1" x14ac:dyDescent="0.25">
      <c r="A299" s="5">
        <v>45352</v>
      </c>
      <c r="B299" s="1" t="s">
        <v>15</v>
      </c>
      <c r="C299" s="1" t="s">
        <v>13</v>
      </c>
      <c r="D299" s="2">
        <v>5.2200000000000003E-2</v>
      </c>
      <c r="E299" s="3">
        <v>1</v>
      </c>
      <c r="F299" s="2">
        <v>9.7500000000000003E-2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4">
        <v>0.97</v>
      </c>
      <c r="M299" s="15"/>
    </row>
    <row r="300" spans="1:13" hidden="1" x14ac:dyDescent="0.25">
      <c r="A300" s="5">
        <v>45352</v>
      </c>
      <c r="B300" s="1" t="s">
        <v>15</v>
      </c>
      <c r="C300" s="1" t="s">
        <v>16</v>
      </c>
      <c r="D300" s="2">
        <v>3.7400000000000003E-2</v>
      </c>
      <c r="E300" s="3">
        <v>1</v>
      </c>
      <c r="F300" s="2">
        <v>8.5000000000000006E-2</v>
      </c>
      <c r="G300" s="2">
        <v>1.4999999999999999E-2</v>
      </c>
      <c r="H300" s="2">
        <v>0</v>
      </c>
      <c r="I300" s="2">
        <v>0</v>
      </c>
      <c r="J300" s="2">
        <v>0</v>
      </c>
      <c r="K300" s="2">
        <v>0</v>
      </c>
      <c r="L300" s="4">
        <v>0.97</v>
      </c>
      <c r="M300" s="15"/>
    </row>
    <row r="301" spans="1:13" hidden="1" x14ac:dyDescent="0.25">
      <c r="A301" s="5">
        <v>45352</v>
      </c>
      <c r="B301" s="1" t="s">
        <v>15</v>
      </c>
      <c r="C301" s="1" t="s">
        <v>17</v>
      </c>
      <c r="D301" s="2">
        <v>3.7600000000000001E-2</v>
      </c>
      <c r="E301" s="3">
        <v>1</v>
      </c>
      <c r="F301" s="2">
        <v>9.9999000000000002</v>
      </c>
      <c r="G301" s="2">
        <v>0</v>
      </c>
      <c r="H301" s="2">
        <v>0</v>
      </c>
      <c r="I301" s="2">
        <v>0.08</v>
      </c>
      <c r="J301" s="2">
        <v>0</v>
      </c>
      <c r="K301" s="2">
        <v>0</v>
      </c>
      <c r="L301" s="4">
        <v>0.97</v>
      </c>
      <c r="M301" s="15"/>
    </row>
    <row r="302" spans="1:13" hidden="1" x14ac:dyDescent="0.25">
      <c r="A302" s="5">
        <v>45352</v>
      </c>
      <c r="B302" s="1" t="s">
        <v>15</v>
      </c>
      <c r="C302" s="1" t="s">
        <v>18</v>
      </c>
      <c r="D302" s="2">
        <v>5.4399999999999997E-2</v>
      </c>
      <c r="E302" s="3">
        <v>1</v>
      </c>
      <c r="F302" s="2">
        <v>9.9999000000000002</v>
      </c>
      <c r="G302" s="2">
        <v>0</v>
      </c>
      <c r="H302" s="2">
        <v>7.4999999999999997E-2</v>
      </c>
      <c r="I302" s="2">
        <v>0</v>
      </c>
      <c r="J302" s="2">
        <v>0</v>
      </c>
      <c r="K302" s="2">
        <v>0</v>
      </c>
      <c r="L302" s="4">
        <v>0.97</v>
      </c>
      <c r="M302" s="15"/>
    </row>
    <row r="303" spans="1:13" hidden="1" x14ac:dyDescent="0.25">
      <c r="A303" s="5">
        <v>45352</v>
      </c>
      <c r="B303" s="1" t="s">
        <v>19</v>
      </c>
      <c r="C303" s="1" t="s">
        <v>13</v>
      </c>
      <c r="D303" s="2">
        <v>4.1300000000000003E-2</v>
      </c>
      <c r="E303" s="3">
        <v>1</v>
      </c>
      <c r="F303" s="2">
        <v>7.2499999999999995E-2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4">
        <v>0.97</v>
      </c>
      <c r="M303" s="15"/>
    </row>
    <row r="304" spans="1:13" hidden="1" x14ac:dyDescent="0.25">
      <c r="A304" s="5">
        <v>45352</v>
      </c>
      <c r="B304" s="1" t="s">
        <v>19</v>
      </c>
      <c r="C304" s="1" t="s">
        <v>16</v>
      </c>
      <c r="D304" s="2">
        <v>2.5600000000000001E-2</v>
      </c>
      <c r="E304" s="3">
        <v>1</v>
      </c>
      <c r="F304" s="2">
        <v>0.06</v>
      </c>
      <c r="G304" s="2">
        <v>1.4999999999999999E-2</v>
      </c>
      <c r="H304" s="2">
        <v>0</v>
      </c>
      <c r="I304" s="2">
        <v>0</v>
      </c>
      <c r="J304" s="2">
        <v>0</v>
      </c>
      <c r="K304" s="2">
        <v>0</v>
      </c>
      <c r="L304" s="4">
        <v>0.97</v>
      </c>
      <c r="M304" s="15"/>
    </row>
    <row r="305" spans="1:13" hidden="1" x14ac:dyDescent="0.25">
      <c r="A305" s="5">
        <v>45352</v>
      </c>
      <c r="B305" s="1" t="s">
        <v>19</v>
      </c>
      <c r="C305" s="1" t="s">
        <v>17</v>
      </c>
      <c r="D305" s="2">
        <v>3.3300000000000003E-2</v>
      </c>
      <c r="E305" s="3">
        <v>1</v>
      </c>
      <c r="F305" s="2">
        <v>9.9999000000000002</v>
      </c>
      <c r="G305" s="2">
        <v>0</v>
      </c>
      <c r="H305" s="2">
        <v>0</v>
      </c>
      <c r="I305" s="2">
        <v>0.09</v>
      </c>
      <c r="J305" s="2">
        <v>0</v>
      </c>
      <c r="K305" s="2">
        <v>0</v>
      </c>
      <c r="L305" s="4">
        <v>0.97</v>
      </c>
      <c r="M305" s="15"/>
    </row>
    <row r="306" spans="1:13" hidden="1" x14ac:dyDescent="0.25">
      <c r="A306" s="5">
        <v>45352</v>
      </c>
      <c r="B306" s="1" t="s">
        <v>19</v>
      </c>
      <c r="C306" s="1" t="s">
        <v>18</v>
      </c>
      <c r="D306" s="2">
        <v>4.3499999999999997E-2</v>
      </c>
      <c r="E306" s="3">
        <v>1</v>
      </c>
      <c r="F306" s="2">
        <v>9.9999000000000002</v>
      </c>
      <c r="G306" s="2">
        <v>0</v>
      </c>
      <c r="H306" s="2">
        <v>0.06</v>
      </c>
      <c r="I306" s="2">
        <v>0</v>
      </c>
      <c r="J306" s="2">
        <v>0</v>
      </c>
      <c r="K306" s="2">
        <v>0</v>
      </c>
      <c r="L306" s="4">
        <v>0.97</v>
      </c>
      <c r="M306" s="15"/>
    </row>
    <row r="307" spans="1:13" hidden="1" x14ac:dyDescent="0.25">
      <c r="A307" s="5">
        <v>45352</v>
      </c>
      <c r="B307" s="1" t="s">
        <v>20</v>
      </c>
      <c r="C307" s="1" t="s">
        <v>13</v>
      </c>
      <c r="D307" s="2">
        <v>5.2200000000000003E-2</v>
      </c>
      <c r="E307" s="3">
        <v>1</v>
      </c>
      <c r="F307" s="2">
        <v>9.7500000000000003E-2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4">
        <v>0.97</v>
      </c>
      <c r="M307" s="15"/>
    </row>
    <row r="308" spans="1:13" hidden="1" x14ac:dyDescent="0.25">
      <c r="A308" s="5">
        <v>45352</v>
      </c>
      <c r="B308" s="1" t="s">
        <v>20</v>
      </c>
      <c r="C308" s="1" t="s">
        <v>17</v>
      </c>
      <c r="D308" s="2">
        <v>3.7600000000000001E-2</v>
      </c>
      <c r="E308" s="3">
        <v>1</v>
      </c>
      <c r="F308" s="2">
        <v>9.9999000000000002</v>
      </c>
      <c r="G308" s="2">
        <v>0</v>
      </c>
      <c r="H308" s="2">
        <v>0</v>
      </c>
      <c r="I308" s="2">
        <v>0.08</v>
      </c>
      <c r="J308" s="2">
        <v>0</v>
      </c>
      <c r="K308" s="2">
        <v>0</v>
      </c>
      <c r="L308" s="4">
        <v>0.97</v>
      </c>
      <c r="M308" s="15"/>
    </row>
    <row r="309" spans="1:13" hidden="1" x14ac:dyDescent="0.25">
      <c r="A309" s="5">
        <v>45352</v>
      </c>
      <c r="B309" s="1" t="s">
        <v>20</v>
      </c>
      <c r="C309" s="1" t="s">
        <v>21</v>
      </c>
      <c r="D309" s="2">
        <v>0.06</v>
      </c>
      <c r="E309" s="3">
        <v>1</v>
      </c>
      <c r="F309" s="2">
        <v>0.12</v>
      </c>
      <c r="G309" s="2">
        <v>0</v>
      </c>
      <c r="H309" s="2">
        <v>0</v>
      </c>
      <c r="I309" s="2">
        <v>0</v>
      </c>
      <c r="J309" s="2">
        <v>4.1500000000000002E-2</v>
      </c>
      <c r="K309" s="2">
        <v>0.6</v>
      </c>
      <c r="L309" s="4">
        <v>0.97</v>
      </c>
      <c r="M309" s="15"/>
    </row>
    <row r="310" spans="1:13" hidden="1" x14ac:dyDescent="0.25">
      <c r="A310" s="5">
        <v>45352</v>
      </c>
      <c r="B310" s="1" t="s">
        <v>20</v>
      </c>
      <c r="C310" s="1" t="s">
        <v>22</v>
      </c>
      <c r="D310" s="2">
        <v>0.06</v>
      </c>
      <c r="E310" s="3">
        <v>1</v>
      </c>
      <c r="F310" s="2">
        <v>0.12</v>
      </c>
      <c r="G310" s="2">
        <v>0</v>
      </c>
      <c r="H310" s="2">
        <v>0</v>
      </c>
      <c r="I310" s="2">
        <v>0</v>
      </c>
      <c r="J310" s="2">
        <v>2.1499999999999998E-2</v>
      </c>
      <c r="K310" s="2">
        <v>0.24</v>
      </c>
      <c r="L310" s="4">
        <v>0.97</v>
      </c>
      <c r="M310" s="15"/>
    </row>
    <row r="311" spans="1:13" hidden="1" x14ac:dyDescent="0.25">
      <c r="A311" s="5">
        <v>45352</v>
      </c>
      <c r="B311" s="1" t="s">
        <v>23</v>
      </c>
      <c r="C311" s="1" t="s">
        <v>24</v>
      </c>
      <c r="D311" s="2">
        <v>2.2700000000000001E-2</v>
      </c>
      <c r="E311" s="3">
        <v>2.4</v>
      </c>
      <c r="F311" s="2">
        <v>9.9999000000000002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4">
        <v>0.97</v>
      </c>
      <c r="M311" s="15"/>
    </row>
    <row r="312" spans="1:13" hidden="1" x14ac:dyDescent="0.25">
      <c r="A312" s="5">
        <v>45352</v>
      </c>
      <c r="B312" s="1" t="s">
        <v>23</v>
      </c>
      <c r="C312" s="1" t="s">
        <v>25</v>
      </c>
      <c r="D312" s="2">
        <v>4.9599999999999998E-2</v>
      </c>
      <c r="E312" s="3">
        <v>1</v>
      </c>
      <c r="F312" s="2">
        <v>0.10249999999999999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4">
        <v>0.97</v>
      </c>
      <c r="M312" s="15"/>
    </row>
    <row r="313" spans="1:13" hidden="1" x14ac:dyDescent="0.25">
      <c r="A313" s="5">
        <v>45352</v>
      </c>
      <c r="B313" s="1" t="s">
        <v>23</v>
      </c>
      <c r="C313" s="1" t="s">
        <v>13</v>
      </c>
      <c r="D313" s="2">
        <v>5.4100000000000002E-2</v>
      </c>
      <c r="E313" s="3">
        <v>1</v>
      </c>
      <c r="F313" s="2">
        <v>0.10249999999999999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4">
        <v>0.97</v>
      </c>
      <c r="M313" s="15"/>
    </row>
    <row r="314" spans="1:13" hidden="1" x14ac:dyDescent="0.25">
      <c r="A314" s="5">
        <v>45352</v>
      </c>
      <c r="B314" s="1" t="s">
        <v>23</v>
      </c>
      <c r="C314" s="1" t="s">
        <v>17</v>
      </c>
      <c r="D314" s="2">
        <v>3.7600000000000001E-2</v>
      </c>
      <c r="E314" s="3">
        <v>1</v>
      </c>
      <c r="F314" s="2">
        <v>9.9999000000000002</v>
      </c>
      <c r="G314" s="2">
        <v>0</v>
      </c>
      <c r="H314" s="2">
        <v>0</v>
      </c>
      <c r="I314" s="2">
        <v>0.08</v>
      </c>
      <c r="J314" s="2">
        <v>0</v>
      </c>
      <c r="K314" s="2">
        <v>0</v>
      </c>
      <c r="L314" s="4">
        <v>0.97</v>
      </c>
      <c r="M314" s="15"/>
    </row>
    <row r="315" spans="1:13" hidden="1" x14ac:dyDescent="0.25">
      <c r="A315" s="5">
        <v>45352</v>
      </c>
      <c r="B315" s="1" t="s">
        <v>23</v>
      </c>
      <c r="C315" s="1" t="s">
        <v>21</v>
      </c>
      <c r="D315" s="2">
        <v>0.06</v>
      </c>
      <c r="E315" s="3">
        <v>1</v>
      </c>
      <c r="F315" s="2">
        <v>0.12</v>
      </c>
      <c r="G315" s="2">
        <v>0</v>
      </c>
      <c r="H315" s="2">
        <v>0</v>
      </c>
      <c r="I315" s="2">
        <v>0</v>
      </c>
      <c r="J315" s="2">
        <v>4.1500000000000002E-2</v>
      </c>
      <c r="K315" s="2">
        <v>0.6</v>
      </c>
      <c r="L315" s="4">
        <v>0.97</v>
      </c>
      <c r="M315" s="15"/>
    </row>
    <row r="316" spans="1:13" hidden="1" x14ac:dyDescent="0.25">
      <c r="A316" s="5">
        <v>45352</v>
      </c>
      <c r="B316" s="1" t="s">
        <v>23</v>
      </c>
      <c r="C316" s="1" t="s">
        <v>22</v>
      </c>
      <c r="D316" s="2">
        <v>0.06</v>
      </c>
      <c r="E316" s="3">
        <v>1</v>
      </c>
      <c r="F316" s="2">
        <v>0.12</v>
      </c>
      <c r="G316" s="2">
        <v>0</v>
      </c>
      <c r="H316" s="2">
        <v>0</v>
      </c>
      <c r="I316" s="2">
        <v>0</v>
      </c>
      <c r="J316" s="2">
        <v>2.1499999999999998E-2</v>
      </c>
      <c r="K316" s="2">
        <v>0.24</v>
      </c>
      <c r="L316" s="4">
        <v>0.97</v>
      </c>
      <c r="M316" s="15"/>
    </row>
    <row r="317" spans="1:13" hidden="1" x14ac:dyDescent="0.25">
      <c r="A317" s="5">
        <v>45352</v>
      </c>
      <c r="B317" s="1" t="s">
        <v>26</v>
      </c>
      <c r="C317" s="1" t="s">
        <v>24</v>
      </c>
      <c r="D317" s="2">
        <v>2.2700000000000001E-2</v>
      </c>
      <c r="E317" s="3">
        <v>2.4</v>
      </c>
      <c r="F317" s="2">
        <v>9.9999000000000002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4">
        <v>0.97</v>
      </c>
      <c r="M317" s="15"/>
    </row>
    <row r="318" spans="1:13" hidden="1" x14ac:dyDescent="0.25">
      <c r="A318" s="5">
        <v>45352</v>
      </c>
      <c r="B318" s="1" t="s">
        <v>26</v>
      </c>
      <c r="C318" s="1" t="s">
        <v>25</v>
      </c>
      <c r="D318" s="2">
        <v>4.8599999999999997E-2</v>
      </c>
      <c r="E318" s="3">
        <v>1</v>
      </c>
      <c r="F318" s="2">
        <v>0.1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4">
        <v>0.97</v>
      </c>
      <c r="M318" s="15"/>
    </row>
    <row r="319" spans="1:13" hidden="1" x14ac:dyDescent="0.25">
      <c r="A319" s="5">
        <v>45352</v>
      </c>
      <c r="B319" s="1" t="s">
        <v>26</v>
      </c>
      <c r="C319" s="1" t="s">
        <v>13</v>
      </c>
      <c r="D319" s="2">
        <v>5.3199999999999997E-2</v>
      </c>
      <c r="E319" s="3">
        <v>1</v>
      </c>
      <c r="F319" s="2">
        <v>0.1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4">
        <v>0.97</v>
      </c>
      <c r="M319" s="15"/>
    </row>
    <row r="320" spans="1:13" hidden="1" x14ac:dyDescent="0.25">
      <c r="A320" s="5">
        <v>45352</v>
      </c>
      <c r="B320" s="1" t="s">
        <v>26</v>
      </c>
      <c r="C320" s="1" t="s">
        <v>17</v>
      </c>
      <c r="D320" s="2">
        <v>3.7600000000000001E-2</v>
      </c>
      <c r="E320" s="3">
        <v>1</v>
      </c>
      <c r="F320" s="2">
        <v>9.9999000000000002</v>
      </c>
      <c r="G320" s="2">
        <v>0</v>
      </c>
      <c r="H320" s="2">
        <v>0</v>
      </c>
      <c r="I320" s="2">
        <v>0.08</v>
      </c>
      <c r="J320" s="2">
        <v>0</v>
      </c>
      <c r="K320" s="2">
        <v>0</v>
      </c>
      <c r="L320" s="4">
        <v>0.97</v>
      </c>
      <c r="M320" s="15"/>
    </row>
    <row r="321" spans="1:13" hidden="1" x14ac:dyDescent="0.25">
      <c r="A321" s="5">
        <v>45352</v>
      </c>
      <c r="B321" s="1" t="s">
        <v>26</v>
      </c>
      <c r="C321" s="1" t="s">
        <v>21</v>
      </c>
      <c r="D321" s="2">
        <v>0.06</v>
      </c>
      <c r="E321" s="3">
        <v>1</v>
      </c>
      <c r="F321" s="2">
        <v>0.12</v>
      </c>
      <c r="G321" s="2">
        <v>0</v>
      </c>
      <c r="H321" s="2">
        <v>0</v>
      </c>
      <c r="I321" s="2">
        <v>0</v>
      </c>
      <c r="J321" s="2">
        <v>4.1500000000000002E-2</v>
      </c>
      <c r="K321" s="2">
        <v>0.6</v>
      </c>
      <c r="L321" s="4">
        <v>0.97</v>
      </c>
      <c r="M321" s="15"/>
    </row>
    <row r="322" spans="1:13" hidden="1" x14ac:dyDescent="0.25">
      <c r="A322" s="5">
        <v>45352</v>
      </c>
      <c r="B322" s="1" t="s">
        <v>26</v>
      </c>
      <c r="C322" s="1" t="s">
        <v>22</v>
      </c>
      <c r="D322" s="2">
        <v>0.06</v>
      </c>
      <c r="E322" s="3">
        <v>1</v>
      </c>
      <c r="F322" s="2">
        <v>0.12</v>
      </c>
      <c r="G322" s="2">
        <v>0</v>
      </c>
      <c r="H322" s="2">
        <v>0</v>
      </c>
      <c r="I322" s="2">
        <v>0</v>
      </c>
      <c r="J322" s="2">
        <v>2.1499999999999998E-2</v>
      </c>
      <c r="K322" s="2">
        <v>0.24</v>
      </c>
      <c r="L322" s="4">
        <v>0.97</v>
      </c>
      <c r="M322" s="15"/>
    </row>
    <row r="323" spans="1:13" hidden="1" x14ac:dyDescent="0.25">
      <c r="A323" s="5">
        <v>45352</v>
      </c>
      <c r="B323" s="1" t="s">
        <v>27</v>
      </c>
      <c r="C323" s="1" t="s">
        <v>13</v>
      </c>
      <c r="D323" s="2">
        <v>5.0200000000000002E-2</v>
      </c>
      <c r="E323" s="3">
        <v>1</v>
      </c>
      <c r="F323" s="2">
        <v>9.2499999999999999E-2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4">
        <v>0.97</v>
      </c>
      <c r="M323" s="15"/>
    </row>
    <row r="324" spans="1:13" hidden="1" x14ac:dyDescent="0.25">
      <c r="A324" s="5">
        <v>45352</v>
      </c>
      <c r="B324" s="1" t="s">
        <v>27</v>
      </c>
      <c r="C324" s="1" t="s">
        <v>17</v>
      </c>
      <c r="D324" s="2">
        <v>3.3300000000000003E-2</v>
      </c>
      <c r="E324" s="3">
        <v>1</v>
      </c>
      <c r="F324" s="2">
        <v>9.9999000000000002</v>
      </c>
      <c r="G324" s="2">
        <v>0</v>
      </c>
      <c r="H324" s="2">
        <v>0</v>
      </c>
      <c r="I324" s="2">
        <v>0.09</v>
      </c>
      <c r="J324" s="2">
        <v>0</v>
      </c>
      <c r="K324" s="2">
        <v>0</v>
      </c>
      <c r="L324" s="4">
        <v>0.97</v>
      </c>
      <c r="M324" s="15"/>
    </row>
    <row r="325" spans="1:13" hidden="1" x14ac:dyDescent="0.25">
      <c r="A325" s="5">
        <v>45352</v>
      </c>
      <c r="B325" s="1" t="s">
        <v>27</v>
      </c>
      <c r="C325" s="1" t="s">
        <v>24</v>
      </c>
      <c r="D325" s="2">
        <v>2.2700000000000001E-2</v>
      </c>
      <c r="E325" s="3">
        <v>2.2000000000000002</v>
      </c>
      <c r="F325" s="2">
        <v>9.9999000000000002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4">
        <v>0.97</v>
      </c>
      <c r="M325" s="15"/>
    </row>
    <row r="326" spans="1:13" hidden="1" x14ac:dyDescent="0.25">
      <c r="A326" s="5">
        <v>45352</v>
      </c>
      <c r="B326" s="1" t="s">
        <v>27</v>
      </c>
      <c r="C326" s="1" t="s">
        <v>25</v>
      </c>
      <c r="D326" s="2">
        <v>4.5600000000000002E-2</v>
      </c>
      <c r="E326" s="3">
        <v>1</v>
      </c>
      <c r="F326" s="2">
        <v>9.2499999999999999E-2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4">
        <v>0.97</v>
      </c>
      <c r="M326" s="15"/>
    </row>
    <row r="327" spans="1:13" hidden="1" x14ac:dyDescent="0.25">
      <c r="A327" s="5">
        <v>45352</v>
      </c>
      <c r="B327" s="1" t="s">
        <v>28</v>
      </c>
      <c r="C327" s="1" t="s">
        <v>13</v>
      </c>
      <c r="D327" s="2">
        <v>4.7E-2</v>
      </c>
      <c r="E327" s="3">
        <v>1</v>
      </c>
      <c r="F327" s="2">
        <v>8.5000000000000006E-2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4">
        <v>0.97</v>
      </c>
      <c r="M327" s="15"/>
    </row>
    <row r="328" spans="1:13" hidden="1" x14ac:dyDescent="0.25">
      <c r="A328" s="5">
        <v>45352</v>
      </c>
      <c r="B328" s="1" t="s">
        <v>28</v>
      </c>
      <c r="C328" s="1" t="s">
        <v>16</v>
      </c>
      <c r="D328" s="2">
        <v>3.0499999999999999E-2</v>
      </c>
      <c r="E328" s="3">
        <v>1</v>
      </c>
      <c r="F328" s="2">
        <v>7.0000000000000007E-2</v>
      </c>
      <c r="G328" s="2">
        <v>1.4999999999999999E-2</v>
      </c>
      <c r="H328" s="2">
        <v>0</v>
      </c>
      <c r="I328" s="2">
        <v>0</v>
      </c>
      <c r="J328" s="2">
        <v>0</v>
      </c>
      <c r="K328" s="2">
        <v>0</v>
      </c>
      <c r="L328" s="4">
        <v>0.97</v>
      </c>
      <c r="M328" s="15"/>
    </row>
    <row r="329" spans="1:13" hidden="1" x14ac:dyDescent="0.25">
      <c r="A329" s="5">
        <v>45352</v>
      </c>
      <c r="B329" s="1" t="s">
        <v>28</v>
      </c>
      <c r="C329" s="1" t="s">
        <v>17</v>
      </c>
      <c r="D329" s="2">
        <v>3.8800000000000001E-2</v>
      </c>
      <c r="E329" s="3">
        <v>1</v>
      </c>
      <c r="F329" s="2">
        <v>9.9999000000000002</v>
      </c>
      <c r="G329" s="2">
        <v>0</v>
      </c>
      <c r="H329" s="2">
        <v>0</v>
      </c>
      <c r="I329" s="2">
        <v>7.7499999999999999E-2</v>
      </c>
      <c r="J329" s="2">
        <v>0</v>
      </c>
      <c r="K329" s="2">
        <v>0</v>
      </c>
      <c r="L329" s="4">
        <v>0.97</v>
      </c>
      <c r="M329" s="15"/>
    </row>
    <row r="330" spans="1:13" hidden="1" x14ac:dyDescent="0.25">
      <c r="A330" s="5">
        <v>45352</v>
      </c>
      <c r="B330" s="1" t="s">
        <v>28</v>
      </c>
      <c r="C330" s="1" t="s">
        <v>18</v>
      </c>
      <c r="D330" s="2">
        <v>4.7100000000000003E-2</v>
      </c>
      <c r="E330" s="3">
        <v>1</v>
      </c>
      <c r="F330" s="2">
        <v>9.9999000000000002</v>
      </c>
      <c r="G330" s="2">
        <v>0</v>
      </c>
      <c r="H330" s="2">
        <v>6.5000000000000002E-2</v>
      </c>
      <c r="I330" s="2">
        <v>0</v>
      </c>
      <c r="J330" s="2">
        <v>0</v>
      </c>
      <c r="K330" s="2">
        <v>0</v>
      </c>
      <c r="L330" s="4">
        <v>0.97</v>
      </c>
      <c r="M330" s="15"/>
    </row>
    <row r="331" spans="1:13" hidden="1" x14ac:dyDescent="0.25">
      <c r="A331" s="5">
        <v>45352</v>
      </c>
      <c r="B331" s="1" t="s">
        <v>29</v>
      </c>
      <c r="C331" s="1" t="s">
        <v>13</v>
      </c>
      <c r="D331" s="2">
        <v>4.36E-2</v>
      </c>
      <c r="E331" s="3">
        <v>1</v>
      </c>
      <c r="F331" s="2">
        <v>7.7499999999999999E-2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4">
        <v>0.97</v>
      </c>
      <c r="M331" s="15"/>
    </row>
    <row r="332" spans="1:13" hidden="1" x14ac:dyDescent="0.25">
      <c r="A332" s="5">
        <v>45352</v>
      </c>
      <c r="B332" s="1" t="s">
        <v>29</v>
      </c>
      <c r="C332" s="1" t="s">
        <v>16</v>
      </c>
      <c r="D332" s="2">
        <v>2.4400000000000002E-2</v>
      </c>
      <c r="E332" s="3">
        <v>1</v>
      </c>
      <c r="F332" s="2">
        <v>5.7500000000000002E-2</v>
      </c>
      <c r="G332" s="2">
        <v>1.4999999999999999E-2</v>
      </c>
      <c r="H332" s="2">
        <v>0</v>
      </c>
      <c r="I332" s="2">
        <v>0</v>
      </c>
      <c r="J332" s="2">
        <v>0</v>
      </c>
      <c r="K332" s="2">
        <v>0</v>
      </c>
      <c r="L332" s="4">
        <v>0.97</v>
      </c>
      <c r="M332" s="15"/>
    </row>
    <row r="333" spans="1:13" hidden="1" x14ac:dyDescent="0.25">
      <c r="A333" s="5">
        <v>45352</v>
      </c>
      <c r="B333" s="1" t="s">
        <v>29</v>
      </c>
      <c r="C333" s="1" t="s">
        <v>17</v>
      </c>
      <c r="D333" s="2">
        <v>3.4599999999999999E-2</v>
      </c>
      <c r="E333" s="3">
        <v>1</v>
      </c>
      <c r="F333" s="2">
        <v>9.9999000000000002</v>
      </c>
      <c r="G333" s="2">
        <v>0</v>
      </c>
      <c r="H333" s="2">
        <v>0</v>
      </c>
      <c r="I333" s="2">
        <v>8.6999999999999994E-2</v>
      </c>
      <c r="J333" s="2">
        <v>0</v>
      </c>
      <c r="K333" s="2">
        <v>0</v>
      </c>
      <c r="L333" s="4">
        <v>0.97</v>
      </c>
      <c r="M333" s="15"/>
    </row>
    <row r="334" spans="1:13" hidden="1" x14ac:dyDescent="0.25">
      <c r="A334" s="5">
        <v>45352</v>
      </c>
      <c r="B334" s="1" t="s">
        <v>29</v>
      </c>
      <c r="C334" s="1" t="s">
        <v>18</v>
      </c>
      <c r="D334" s="2">
        <v>4.1300000000000003E-2</v>
      </c>
      <c r="E334" s="3">
        <v>1</v>
      </c>
      <c r="F334" s="2">
        <v>9.9999000000000002</v>
      </c>
      <c r="G334" s="2">
        <v>0</v>
      </c>
      <c r="H334" s="2">
        <v>5.7000000000000002E-2</v>
      </c>
      <c r="I334" s="2">
        <v>0</v>
      </c>
      <c r="J334" s="2">
        <v>0</v>
      </c>
      <c r="K334" s="2">
        <v>0</v>
      </c>
      <c r="L334" s="4">
        <v>0.97</v>
      </c>
      <c r="M334" s="15"/>
    </row>
    <row r="335" spans="1:13" hidden="1" x14ac:dyDescent="0.25">
      <c r="A335" s="5">
        <v>45383</v>
      </c>
      <c r="B335" s="1" t="s">
        <v>12</v>
      </c>
      <c r="C335" s="1" t="s">
        <v>13</v>
      </c>
      <c r="D335" s="2">
        <v>5.1299999999999998E-2</v>
      </c>
      <c r="E335" s="3">
        <v>1</v>
      </c>
      <c r="F335" s="2">
        <v>9.7500000000000003E-2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4">
        <v>0.97</v>
      </c>
      <c r="M335" s="15"/>
    </row>
    <row r="336" spans="1:13" hidden="1" x14ac:dyDescent="0.25">
      <c r="A336" s="5">
        <v>45383</v>
      </c>
      <c r="B336" s="1" t="s">
        <v>15</v>
      </c>
      <c r="C336" s="1" t="s">
        <v>13</v>
      </c>
      <c r="D336" s="2">
        <v>5.1299999999999998E-2</v>
      </c>
      <c r="E336" s="3">
        <v>1</v>
      </c>
      <c r="F336" s="2">
        <v>9.7500000000000003E-2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4">
        <v>0.97</v>
      </c>
      <c r="M336" s="15"/>
    </row>
    <row r="337" spans="1:13" hidden="1" x14ac:dyDescent="0.25">
      <c r="A337" s="5">
        <v>45383</v>
      </c>
      <c r="B337" s="1" t="s">
        <v>15</v>
      </c>
      <c r="C337" s="1" t="s">
        <v>16</v>
      </c>
      <c r="D337" s="2">
        <v>3.6700000000000003E-2</v>
      </c>
      <c r="E337" s="3">
        <v>1</v>
      </c>
      <c r="F337" s="2">
        <v>8.5000000000000006E-2</v>
      </c>
      <c r="G337" s="2">
        <v>1.4999999999999999E-2</v>
      </c>
      <c r="H337" s="2">
        <v>0</v>
      </c>
      <c r="I337" s="2">
        <v>0</v>
      </c>
      <c r="J337" s="2">
        <v>0</v>
      </c>
      <c r="K337" s="2">
        <v>0</v>
      </c>
      <c r="L337" s="4">
        <v>0.97</v>
      </c>
      <c r="M337" s="15"/>
    </row>
    <row r="338" spans="1:13" hidden="1" x14ac:dyDescent="0.25">
      <c r="A338" s="5">
        <v>45383</v>
      </c>
      <c r="B338" s="1" t="s">
        <v>15</v>
      </c>
      <c r="C338" s="1" t="s">
        <v>17</v>
      </c>
      <c r="D338" s="2">
        <v>3.9399999999999998E-2</v>
      </c>
      <c r="E338" s="3">
        <v>1</v>
      </c>
      <c r="F338" s="2">
        <v>9.9999000000000002</v>
      </c>
      <c r="G338" s="2">
        <v>0</v>
      </c>
      <c r="H338" s="2">
        <v>0</v>
      </c>
      <c r="I338" s="2">
        <v>0.08</v>
      </c>
      <c r="J338" s="2">
        <v>0</v>
      </c>
      <c r="K338" s="2">
        <v>0</v>
      </c>
      <c r="L338" s="4">
        <v>0.97</v>
      </c>
      <c r="M338" s="15"/>
    </row>
    <row r="339" spans="1:13" hidden="1" x14ac:dyDescent="0.25">
      <c r="A339" s="5">
        <v>45383</v>
      </c>
      <c r="B339" s="1" t="s">
        <v>15</v>
      </c>
      <c r="C339" s="1" t="s">
        <v>18</v>
      </c>
      <c r="D339" s="2">
        <v>5.4300000000000001E-2</v>
      </c>
      <c r="E339" s="3">
        <v>1</v>
      </c>
      <c r="F339" s="2">
        <v>9.9999000000000002</v>
      </c>
      <c r="G339" s="2">
        <v>0</v>
      </c>
      <c r="H339" s="2">
        <v>7.4999999999999997E-2</v>
      </c>
      <c r="I339" s="2">
        <v>0</v>
      </c>
      <c r="J339" s="2">
        <v>0</v>
      </c>
      <c r="K339" s="2">
        <v>0</v>
      </c>
      <c r="L339" s="4">
        <v>0.97</v>
      </c>
      <c r="M339" s="15"/>
    </row>
    <row r="340" spans="1:13" hidden="1" x14ac:dyDescent="0.25">
      <c r="A340" s="5">
        <v>45383</v>
      </c>
      <c r="B340" s="1" t="s">
        <v>19</v>
      </c>
      <c r="C340" s="1" t="s">
        <v>13</v>
      </c>
      <c r="D340" s="2">
        <v>4.0599999999999997E-2</v>
      </c>
      <c r="E340" s="3">
        <v>1</v>
      </c>
      <c r="F340" s="2">
        <v>7.2499999999999995E-2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4">
        <v>0.97</v>
      </c>
      <c r="M340" s="15"/>
    </row>
    <row r="341" spans="1:13" hidden="1" x14ac:dyDescent="0.25">
      <c r="A341" s="5">
        <v>45383</v>
      </c>
      <c r="B341" s="1" t="s">
        <v>19</v>
      </c>
      <c r="C341" s="1" t="s">
        <v>16</v>
      </c>
      <c r="D341" s="2">
        <v>2.52E-2</v>
      </c>
      <c r="E341" s="3">
        <v>1</v>
      </c>
      <c r="F341" s="2">
        <v>0.06</v>
      </c>
      <c r="G341" s="2">
        <v>1.4999999999999999E-2</v>
      </c>
      <c r="H341" s="2">
        <v>0</v>
      </c>
      <c r="I341" s="2">
        <v>0</v>
      </c>
      <c r="J341" s="2">
        <v>0</v>
      </c>
      <c r="K341" s="2">
        <v>0</v>
      </c>
      <c r="L341" s="4">
        <v>0.97</v>
      </c>
      <c r="M341" s="15"/>
    </row>
    <row r="342" spans="1:13" hidden="1" x14ac:dyDescent="0.25">
      <c r="A342" s="5">
        <v>45383</v>
      </c>
      <c r="B342" s="1" t="s">
        <v>19</v>
      </c>
      <c r="C342" s="1" t="s">
        <v>17</v>
      </c>
      <c r="D342" s="2">
        <v>3.5099999999999999E-2</v>
      </c>
      <c r="E342" s="3">
        <v>1</v>
      </c>
      <c r="F342" s="2">
        <v>9.9999000000000002</v>
      </c>
      <c r="G342" s="2">
        <v>0</v>
      </c>
      <c r="H342" s="2">
        <v>0</v>
      </c>
      <c r="I342" s="2">
        <v>0.09</v>
      </c>
      <c r="J342" s="2">
        <v>0</v>
      </c>
      <c r="K342" s="2">
        <v>0</v>
      </c>
      <c r="L342" s="4">
        <v>0.97</v>
      </c>
      <c r="M342" s="15"/>
    </row>
    <row r="343" spans="1:13" hidden="1" x14ac:dyDescent="0.25">
      <c r="A343" s="5">
        <v>45383</v>
      </c>
      <c r="B343" s="1" t="s">
        <v>19</v>
      </c>
      <c r="C343" s="1" t="s">
        <v>18</v>
      </c>
      <c r="D343" s="2">
        <v>4.3499999999999997E-2</v>
      </c>
      <c r="E343" s="3">
        <v>1</v>
      </c>
      <c r="F343" s="2">
        <v>9.9999000000000002</v>
      </c>
      <c r="G343" s="2">
        <v>0</v>
      </c>
      <c r="H343" s="2">
        <v>0.06</v>
      </c>
      <c r="I343" s="2">
        <v>0</v>
      </c>
      <c r="J343" s="2">
        <v>0</v>
      </c>
      <c r="K343" s="2">
        <v>0</v>
      </c>
      <c r="L343" s="4">
        <v>0.97</v>
      </c>
      <c r="M343" s="15"/>
    </row>
    <row r="344" spans="1:13" hidden="1" x14ac:dyDescent="0.25">
      <c r="A344" s="5">
        <v>45383</v>
      </c>
      <c r="B344" s="1" t="s">
        <v>20</v>
      </c>
      <c r="C344" s="1" t="s">
        <v>13</v>
      </c>
      <c r="D344" s="2">
        <v>5.1299999999999998E-2</v>
      </c>
      <c r="E344" s="3">
        <v>1</v>
      </c>
      <c r="F344" s="2">
        <v>9.7500000000000003E-2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4">
        <v>0.97</v>
      </c>
      <c r="M344" s="15"/>
    </row>
    <row r="345" spans="1:13" hidden="1" x14ac:dyDescent="0.25">
      <c r="A345" s="5">
        <v>45383</v>
      </c>
      <c r="B345" s="1" t="s">
        <v>20</v>
      </c>
      <c r="C345" s="1" t="s">
        <v>17</v>
      </c>
      <c r="D345" s="2">
        <v>3.9399999999999998E-2</v>
      </c>
      <c r="E345" s="3">
        <v>1</v>
      </c>
      <c r="F345" s="2">
        <v>9.9999000000000002</v>
      </c>
      <c r="G345" s="2">
        <v>0</v>
      </c>
      <c r="H345" s="2">
        <v>0</v>
      </c>
      <c r="I345" s="2">
        <v>0.08</v>
      </c>
      <c r="J345" s="2">
        <v>0</v>
      </c>
      <c r="K345" s="2">
        <v>0</v>
      </c>
      <c r="L345" s="4">
        <v>0.97</v>
      </c>
      <c r="M345" s="15"/>
    </row>
    <row r="346" spans="1:13" hidden="1" x14ac:dyDescent="0.25">
      <c r="A346" s="5">
        <v>45383</v>
      </c>
      <c r="B346" s="1" t="s">
        <v>20</v>
      </c>
      <c r="C346" s="1" t="s">
        <v>21</v>
      </c>
      <c r="D346" s="2">
        <v>5.8999999999999997E-2</v>
      </c>
      <c r="E346" s="3">
        <v>1</v>
      </c>
      <c r="F346" s="2">
        <v>0.12</v>
      </c>
      <c r="G346" s="2">
        <v>0</v>
      </c>
      <c r="H346" s="2">
        <v>0</v>
      </c>
      <c r="I346" s="2">
        <v>0</v>
      </c>
      <c r="J346" s="2">
        <v>4.1500000000000002E-2</v>
      </c>
      <c r="K346" s="2">
        <v>0.6</v>
      </c>
      <c r="L346" s="4">
        <v>0.97</v>
      </c>
      <c r="M346" s="15"/>
    </row>
    <row r="347" spans="1:13" hidden="1" x14ac:dyDescent="0.25">
      <c r="A347" s="5">
        <v>45383</v>
      </c>
      <c r="B347" s="1" t="s">
        <v>20</v>
      </c>
      <c r="C347" s="1" t="s">
        <v>22</v>
      </c>
      <c r="D347" s="2">
        <v>5.8999999999999997E-2</v>
      </c>
      <c r="E347" s="3">
        <v>1</v>
      </c>
      <c r="F347" s="2">
        <v>0.12</v>
      </c>
      <c r="G347" s="2">
        <v>0</v>
      </c>
      <c r="H347" s="2">
        <v>0</v>
      </c>
      <c r="I347" s="2">
        <v>0</v>
      </c>
      <c r="J347" s="2">
        <v>2.1499999999999998E-2</v>
      </c>
      <c r="K347" s="2">
        <v>0.24</v>
      </c>
      <c r="L347" s="4">
        <v>0.97</v>
      </c>
      <c r="M347" s="15"/>
    </row>
    <row r="348" spans="1:13" hidden="1" x14ac:dyDescent="0.25">
      <c r="A348" s="5">
        <v>45383</v>
      </c>
      <c r="B348" s="1" t="s">
        <v>23</v>
      </c>
      <c r="C348" s="1" t="s">
        <v>24</v>
      </c>
      <c r="D348" s="2">
        <v>2.2700000000000001E-2</v>
      </c>
      <c r="E348" s="3">
        <v>2.4</v>
      </c>
      <c r="F348" s="2">
        <v>9.9999000000000002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4">
        <v>0.97</v>
      </c>
      <c r="M348" s="15"/>
    </row>
    <row r="349" spans="1:13" hidden="1" x14ac:dyDescent="0.25">
      <c r="A349" s="5">
        <v>45383</v>
      </c>
      <c r="B349" s="1" t="s">
        <v>23</v>
      </c>
      <c r="C349" s="1" t="s">
        <v>25</v>
      </c>
      <c r="D349" s="2">
        <v>5.1999999999999998E-2</v>
      </c>
      <c r="E349" s="3">
        <v>1</v>
      </c>
      <c r="F349" s="2">
        <v>0.10249999999999999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4">
        <v>0.97</v>
      </c>
      <c r="M349" s="15"/>
    </row>
    <row r="350" spans="1:13" hidden="1" x14ac:dyDescent="0.25">
      <c r="A350" s="5">
        <v>45383</v>
      </c>
      <c r="B350" s="1" t="s">
        <v>23</v>
      </c>
      <c r="C350" s="1" t="s">
        <v>13</v>
      </c>
      <c r="D350" s="2">
        <v>5.3199999999999997E-2</v>
      </c>
      <c r="E350" s="3">
        <v>1</v>
      </c>
      <c r="F350" s="2">
        <v>0.10249999999999999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4">
        <v>0.97</v>
      </c>
      <c r="M350" s="15"/>
    </row>
    <row r="351" spans="1:13" hidden="1" x14ac:dyDescent="0.25">
      <c r="A351" s="5">
        <v>45383</v>
      </c>
      <c r="B351" s="1" t="s">
        <v>23</v>
      </c>
      <c r="C351" s="1" t="s">
        <v>17</v>
      </c>
      <c r="D351" s="2">
        <v>3.9399999999999998E-2</v>
      </c>
      <c r="E351" s="3">
        <v>1</v>
      </c>
      <c r="F351" s="2">
        <v>9.9999000000000002</v>
      </c>
      <c r="G351" s="2">
        <v>0</v>
      </c>
      <c r="H351" s="2">
        <v>0</v>
      </c>
      <c r="I351" s="2">
        <v>0.08</v>
      </c>
      <c r="J351" s="2">
        <v>0</v>
      </c>
      <c r="K351" s="2">
        <v>0</v>
      </c>
      <c r="L351" s="4">
        <v>0.97</v>
      </c>
      <c r="M351" s="15"/>
    </row>
    <row r="352" spans="1:13" hidden="1" x14ac:dyDescent="0.25">
      <c r="A352" s="5">
        <v>45383</v>
      </c>
      <c r="B352" s="1" t="s">
        <v>23</v>
      </c>
      <c r="C352" s="1" t="s">
        <v>21</v>
      </c>
      <c r="D352" s="2">
        <v>5.8999999999999997E-2</v>
      </c>
      <c r="E352" s="3">
        <v>1</v>
      </c>
      <c r="F352" s="2">
        <v>0.12</v>
      </c>
      <c r="G352" s="2">
        <v>0</v>
      </c>
      <c r="H352" s="2">
        <v>0</v>
      </c>
      <c r="I352" s="2">
        <v>0</v>
      </c>
      <c r="J352" s="2">
        <v>4.1500000000000002E-2</v>
      </c>
      <c r="K352" s="2">
        <v>0.6</v>
      </c>
      <c r="L352" s="4">
        <v>0.97</v>
      </c>
      <c r="M352" s="15"/>
    </row>
    <row r="353" spans="1:13" hidden="1" x14ac:dyDescent="0.25">
      <c r="A353" s="5">
        <v>45383</v>
      </c>
      <c r="B353" s="1" t="s">
        <v>23</v>
      </c>
      <c r="C353" s="1" t="s">
        <v>22</v>
      </c>
      <c r="D353" s="2">
        <v>5.8999999999999997E-2</v>
      </c>
      <c r="E353" s="3">
        <v>1</v>
      </c>
      <c r="F353" s="2">
        <v>0.12</v>
      </c>
      <c r="G353" s="2">
        <v>0</v>
      </c>
      <c r="H353" s="2">
        <v>0</v>
      </c>
      <c r="I353" s="2">
        <v>0</v>
      </c>
      <c r="J353" s="2">
        <v>2.1499999999999998E-2</v>
      </c>
      <c r="K353" s="2">
        <v>0.24</v>
      </c>
      <c r="L353" s="4">
        <v>0.97</v>
      </c>
      <c r="M353" s="15"/>
    </row>
    <row r="354" spans="1:13" hidden="1" x14ac:dyDescent="0.25">
      <c r="A354" s="5">
        <v>45383</v>
      </c>
      <c r="B354" s="1" t="s">
        <v>26</v>
      </c>
      <c r="C354" s="1" t="s">
        <v>24</v>
      </c>
      <c r="D354" s="2">
        <v>2.2700000000000001E-2</v>
      </c>
      <c r="E354" s="3">
        <v>2.4</v>
      </c>
      <c r="F354" s="2">
        <v>9.9999000000000002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4">
        <v>0.97</v>
      </c>
      <c r="M354" s="15"/>
    </row>
    <row r="355" spans="1:13" hidden="1" x14ac:dyDescent="0.25">
      <c r="A355" s="5">
        <v>45383</v>
      </c>
      <c r="B355" s="1" t="s">
        <v>26</v>
      </c>
      <c r="C355" s="1" t="s">
        <v>25</v>
      </c>
      <c r="D355" s="2">
        <v>5.0999999999999997E-2</v>
      </c>
      <c r="E355" s="3">
        <v>1</v>
      </c>
      <c r="F355" s="2">
        <v>0.1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4">
        <v>0.97</v>
      </c>
      <c r="M355" s="15"/>
    </row>
    <row r="356" spans="1:13" hidden="1" x14ac:dyDescent="0.25">
      <c r="A356" s="5">
        <v>45383</v>
      </c>
      <c r="B356" s="1" t="s">
        <v>26</v>
      </c>
      <c r="C356" s="1" t="s">
        <v>13</v>
      </c>
      <c r="D356" s="2">
        <v>5.2299999999999999E-2</v>
      </c>
      <c r="E356" s="3">
        <v>1</v>
      </c>
      <c r="F356" s="2">
        <v>0.1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4">
        <v>0.97</v>
      </c>
      <c r="M356" s="15"/>
    </row>
    <row r="357" spans="1:13" hidden="1" x14ac:dyDescent="0.25">
      <c r="A357" s="5">
        <v>45383</v>
      </c>
      <c r="B357" s="1" t="s">
        <v>26</v>
      </c>
      <c r="C357" s="1" t="s">
        <v>17</v>
      </c>
      <c r="D357" s="2">
        <v>3.9399999999999998E-2</v>
      </c>
      <c r="E357" s="3">
        <v>1</v>
      </c>
      <c r="F357" s="2">
        <v>9.9999000000000002</v>
      </c>
      <c r="G357" s="2">
        <v>0</v>
      </c>
      <c r="H357" s="2">
        <v>0</v>
      </c>
      <c r="I357" s="2">
        <v>0.08</v>
      </c>
      <c r="J357" s="2">
        <v>0</v>
      </c>
      <c r="K357" s="2">
        <v>0</v>
      </c>
      <c r="L357" s="4">
        <v>0.97</v>
      </c>
      <c r="M357" s="15"/>
    </row>
    <row r="358" spans="1:13" hidden="1" x14ac:dyDescent="0.25">
      <c r="A358" s="5">
        <v>45383</v>
      </c>
      <c r="B358" s="1" t="s">
        <v>26</v>
      </c>
      <c r="C358" s="1" t="s">
        <v>21</v>
      </c>
      <c r="D358" s="2">
        <v>5.8999999999999997E-2</v>
      </c>
      <c r="E358" s="3">
        <v>1</v>
      </c>
      <c r="F358" s="2">
        <v>0.12</v>
      </c>
      <c r="G358" s="2">
        <v>0</v>
      </c>
      <c r="H358" s="2">
        <v>0</v>
      </c>
      <c r="I358" s="2">
        <v>0</v>
      </c>
      <c r="J358" s="2">
        <v>4.1500000000000002E-2</v>
      </c>
      <c r="K358" s="2">
        <v>0.6</v>
      </c>
      <c r="L358" s="4">
        <v>0.97</v>
      </c>
      <c r="M358" s="15"/>
    </row>
    <row r="359" spans="1:13" hidden="1" x14ac:dyDescent="0.25">
      <c r="A359" s="5">
        <v>45383</v>
      </c>
      <c r="B359" s="1" t="s">
        <v>26</v>
      </c>
      <c r="C359" s="1" t="s">
        <v>22</v>
      </c>
      <c r="D359" s="2">
        <v>5.8999999999999997E-2</v>
      </c>
      <c r="E359" s="3">
        <v>1</v>
      </c>
      <c r="F359" s="2">
        <v>0.12</v>
      </c>
      <c r="G359" s="2">
        <v>0</v>
      </c>
      <c r="H359" s="2">
        <v>0</v>
      </c>
      <c r="I359" s="2">
        <v>0</v>
      </c>
      <c r="J359" s="2">
        <v>2.1499999999999998E-2</v>
      </c>
      <c r="K359" s="2">
        <v>0.24</v>
      </c>
      <c r="L359" s="4">
        <v>0.97</v>
      </c>
      <c r="M359" s="15"/>
    </row>
    <row r="360" spans="1:13" hidden="1" x14ac:dyDescent="0.25">
      <c r="A360" s="5">
        <v>45383</v>
      </c>
      <c r="B360" s="1" t="s">
        <v>27</v>
      </c>
      <c r="C360" s="1" t="s">
        <v>13</v>
      </c>
      <c r="D360" s="2">
        <v>4.9299999999999997E-2</v>
      </c>
      <c r="E360" s="3">
        <v>1</v>
      </c>
      <c r="F360" s="2">
        <v>9.2499999999999999E-2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4">
        <v>0.97</v>
      </c>
      <c r="M360" s="15"/>
    </row>
    <row r="361" spans="1:13" hidden="1" x14ac:dyDescent="0.25">
      <c r="A361" s="5">
        <v>45383</v>
      </c>
      <c r="B361" s="1" t="s">
        <v>27</v>
      </c>
      <c r="C361" s="1" t="s">
        <v>17</v>
      </c>
      <c r="D361" s="2">
        <v>3.5099999999999999E-2</v>
      </c>
      <c r="E361" s="3">
        <v>1</v>
      </c>
      <c r="F361" s="2">
        <v>9.9999000000000002</v>
      </c>
      <c r="G361" s="2">
        <v>0</v>
      </c>
      <c r="H361" s="2">
        <v>0</v>
      </c>
      <c r="I361" s="2">
        <v>0.09</v>
      </c>
      <c r="J361" s="2">
        <v>0</v>
      </c>
      <c r="K361" s="2">
        <v>0</v>
      </c>
      <c r="L361" s="4">
        <v>0.97</v>
      </c>
      <c r="M361" s="15"/>
    </row>
    <row r="362" spans="1:13" hidden="1" x14ac:dyDescent="0.25">
      <c r="A362" s="5">
        <v>45383</v>
      </c>
      <c r="B362" s="1" t="s">
        <v>27</v>
      </c>
      <c r="C362" s="1" t="s">
        <v>24</v>
      </c>
      <c r="D362" s="2">
        <v>2.2700000000000001E-2</v>
      </c>
      <c r="E362" s="3">
        <v>2.2000000000000002</v>
      </c>
      <c r="F362" s="2">
        <v>9.9999000000000002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4">
        <v>0.97</v>
      </c>
      <c r="M362" s="15"/>
    </row>
    <row r="363" spans="1:13" hidden="1" x14ac:dyDescent="0.25">
      <c r="A363" s="5">
        <v>45383</v>
      </c>
      <c r="B363" s="1" t="s">
        <v>27</v>
      </c>
      <c r="C363" s="1" t="s">
        <v>25</v>
      </c>
      <c r="D363" s="2">
        <v>4.7899999999999998E-2</v>
      </c>
      <c r="E363" s="3">
        <v>1</v>
      </c>
      <c r="F363" s="2">
        <v>9.2499999999999999E-2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4">
        <v>0.97</v>
      </c>
      <c r="M363" s="15"/>
    </row>
    <row r="364" spans="1:13" hidden="1" x14ac:dyDescent="0.25">
      <c r="A364" s="5">
        <v>45383</v>
      </c>
      <c r="B364" s="1" t="s">
        <v>28</v>
      </c>
      <c r="C364" s="1" t="s">
        <v>13</v>
      </c>
      <c r="D364" s="2">
        <v>4.7E-2</v>
      </c>
      <c r="E364" s="3">
        <v>1</v>
      </c>
      <c r="F364" s="2">
        <v>8.5000000000000006E-2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4">
        <v>0.97</v>
      </c>
      <c r="M364" s="15"/>
    </row>
    <row r="365" spans="1:13" hidden="1" x14ac:dyDescent="0.25">
      <c r="A365" s="5">
        <v>45383</v>
      </c>
      <c r="B365" s="1" t="s">
        <v>28</v>
      </c>
      <c r="C365" s="1" t="s">
        <v>16</v>
      </c>
      <c r="D365" s="2">
        <v>3.0499999999999999E-2</v>
      </c>
      <c r="E365" s="3">
        <v>1</v>
      </c>
      <c r="F365" s="2">
        <v>7.0000000000000007E-2</v>
      </c>
      <c r="G365" s="2">
        <v>1.4999999999999999E-2</v>
      </c>
      <c r="H365" s="2">
        <v>0</v>
      </c>
      <c r="I365" s="2">
        <v>0</v>
      </c>
      <c r="J365" s="2">
        <v>0</v>
      </c>
      <c r="K365" s="2">
        <v>0</v>
      </c>
      <c r="L365" s="4">
        <v>0.97</v>
      </c>
      <c r="M365" s="15"/>
    </row>
    <row r="366" spans="1:13" hidden="1" x14ac:dyDescent="0.25">
      <c r="A366" s="5">
        <v>45383</v>
      </c>
      <c r="B366" s="1" t="s">
        <v>28</v>
      </c>
      <c r="C366" s="1" t="s">
        <v>17</v>
      </c>
      <c r="D366" s="2">
        <v>3.8800000000000001E-2</v>
      </c>
      <c r="E366" s="3">
        <v>1</v>
      </c>
      <c r="F366" s="2">
        <v>9.9999000000000002</v>
      </c>
      <c r="G366" s="2">
        <v>0</v>
      </c>
      <c r="H366" s="2">
        <v>0</v>
      </c>
      <c r="I366" s="2">
        <v>7.7499999999999999E-2</v>
      </c>
      <c r="J366" s="2">
        <v>0</v>
      </c>
      <c r="K366" s="2">
        <v>0</v>
      </c>
      <c r="L366" s="4">
        <v>0.97</v>
      </c>
      <c r="M366" s="15"/>
    </row>
    <row r="367" spans="1:13" hidden="1" x14ac:dyDescent="0.25">
      <c r="A367" s="5">
        <v>45383</v>
      </c>
      <c r="B367" s="1" t="s">
        <v>28</v>
      </c>
      <c r="C367" s="1" t="s">
        <v>18</v>
      </c>
      <c r="D367" s="2">
        <v>4.7100000000000003E-2</v>
      </c>
      <c r="E367" s="3">
        <v>1</v>
      </c>
      <c r="F367" s="2">
        <v>9.9999000000000002</v>
      </c>
      <c r="G367" s="2">
        <v>0</v>
      </c>
      <c r="H367" s="2">
        <v>6.5000000000000002E-2</v>
      </c>
      <c r="I367" s="2">
        <v>0</v>
      </c>
      <c r="J367" s="2">
        <v>0</v>
      </c>
      <c r="K367" s="2">
        <v>0</v>
      </c>
      <c r="L367" s="4">
        <v>0.97</v>
      </c>
      <c r="M367" s="15"/>
    </row>
    <row r="368" spans="1:13" hidden="1" x14ac:dyDescent="0.25">
      <c r="A368" s="5">
        <v>45383</v>
      </c>
      <c r="B368" s="1" t="s">
        <v>29</v>
      </c>
      <c r="C368" s="1" t="s">
        <v>13</v>
      </c>
      <c r="D368" s="2">
        <v>4.36E-2</v>
      </c>
      <c r="E368" s="3">
        <v>1</v>
      </c>
      <c r="F368" s="2">
        <v>7.7499999999999999E-2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4">
        <v>0.97</v>
      </c>
      <c r="M368" s="15"/>
    </row>
    <row r="369" spans="1:13" hidden="1" x14ac:dyDescent="0.25">
      <c r="A369" s="5">
        <v>45383</v>
      </c>
      <c r="B369" s="1" t="s">
        <v>29</v>
      </c>
      <c r="C369" s="1" t="s">
        <v>16</v>
      </c>
      <c r="D369" s="2">
        <v>2.4400000000000002E-2</v>
      </c>
      <c r="E369" s="3">
        <v>1</v>
      </c>
      <c r="F369" s="2">
        <v>5.7500000000000002E-2</v>
      </c>
      <c r="G369" s="2">
        <v>1.4999999999999999E-2</v>
      </c>
      <c r="H369" s="2">
        <v>0</v>
      </c>
      <c r="I369" s="2">
        <v>0</v>
      </c>
      <c r="J369" s="2">
        <v>0</v>
      </c>
      <c r="K369" s="2">
        <v>0</v>
      </c>
      <c r="L369" s="4">
        <v>0.97</v>
      </c>
      <c r="M369" s="15"/>
    </row>
    <row r="370" spans="1:13" hidden="1" x14ac:dyDescent="0.25">
      <c r="A370" s="5">
        <v>45383</v>
      </c>
      <c r="B370" s="1" t="s">
        <v>29</v>
      </c>
      <c r="C370" s="1" t="s">
        <v>17</v>
      </c>
      <c r="D370" s="2">
        <v>3.4599999999999999E-2</v>
      </c>
      <c r="E370" s="3">
        <v>1</v>
      </c>
      <c r="F370" s="2">
        <v>9.9999000000000002</v>
      </c>
      <c r="G370" s="2">
        <v>0</v>
      </c>
      <c r="H370" s="2">
        <v>0</v>
      </c>
      <c r="I370" s="2">
        <v>8.6999999999999994E-2</v>
      </c>
      <c r="J370" s="2">
        <v>0</v>
      </c>
      <c r="K370" s="2">
        <v>0</v>
      </c>
      <c r="L370" s="4">
        <v>0.97</v>
      </c>
      <c r="M370" s="15"/>
    </row>
    <row r="371" spans="1:13" hidden="1" x14ac:dyDescent="0.25">
      <c r="A371" s="5">
        <v>45383</v>
      </c>
      <c r="B371" s="1" t="s">
        <v>29</v>
      </c>
      <c r="C371" s="1" t="s">
        <v>18</v>
      </c>
      <c r="D371" s="2">
        <v>4.1300000000000003E-2</v>
      </c>
      <c r="E371" s="3">
        <v>1</v>
      </c>
      <c r="F371" s="2">
        <v>9.9999000000000002</v>
      </c>
      <c r="G371" s="2">
        <v>0</v>
      </c>
      <c r="H371" s="2">
        <v>5.7000000000000002E-2</v>
      </c>
      <c r="I371" s="2">
        <v>0</v>
      </c>
      <c r="J371" s="2">
        <v>0</v>
      </c>
      <c r="K371" s="2">
        <v>0</v>
      </c>
      <c r="L371" s="4">
        <v>0.97</v>
      </c>
      <c r="M371" s="15"/>
    </row>
    <row r="372" spans="1:13" hidden="1" x14ac:dyDescent="0.25">
      <c r="A372" s="5">
        <v>45413</v>
      </c>
      <c r="B372" s="1" t="s">
        <v>12</v>
      </c>
      <c r="C372" s="1" t="s">
        <v>13</v>
      </c>
      <c r="D372" s="2">
        <v>5.1900000000000002E-2</v>
      </c>
      <c r="E372" s="3">
        <v>1</v>
      </c>
      <c r="F372" s="2">
        <v>9.7500000000000003E-2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4">
        <v>0.97</v>
      </c>
      <c r="M372" s="15"/>
    </row>
    <row r="373" spans="1:13" hidden="1" x14ac:dyDescent="0.25">
      <c r="A373" s="5">
        <v>45413</v>
      </c>
      <c r="B373" s="1" t="s">
        <v>15</v>
      </c>
      <c r="C373" s="1" t="s">
        <v>13</v>
      </c>
      <c r="D373" s="2">
        <v>5.1900000000000002E-2</v>
      </c>
      <c r="E373" s="3">
        <v>1</v>
      </c>
      <c r="F373" s="2">
        <v>9.7500000000000003E-2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4">
        <v>0.97</v>
      </c>
      <c r="M373" s="15"/>
    </row>
    <row r="374" spans="1:13" hidden="1" x14ac:dyDescent="0.25">
      <c r="A374" s="5">
        <v>45413</v>
      </c>
      <c r="B374" s="1" t="s">
        <v>15</v>
      </c>
      <c r="C374" s="1" t="s">
        <v>16</v>
      </c>
      <c r="D374" s="2">
        <v>3.7100000000000001E-2</v>
      </c>
      <c r="E374" s="3">
        <v>1</v>
      </c>
      <c r="F374" s="2">
        <v>8.5000000000000006E-2</v>
      </c>
      <c r="G374" s="2">
        <v>1.4999999999999999E-2</v>
      </c>
      <c r="H374" s="2">
        <v>0</v>
      </c>
      <c r="I374" s="2">
        <v>0</v>
      </c>
      <c r="J374" s="2">
        <v>0</v>
      </c>
      <c r="K374" s="2">
        <v>0</v>
      </c>
      <c r="L374" s="4">
        <v>0.97</v>
      </c>
      <c r="M374" s="15"/>
    </row>
    <row r="375" spans="1:13" hidden="1" x14ac:dyDescent="0.25">
      <c r="A375" s="5">
        <v>45413</v>
      </c>
      <c r="B375" s="1" t="s">
        <v>15</v>
      </c>
      <c r="C375" s="1" t="s">
        <v>17</v>
      </c>
      <c r="D375" s="2">
        <v>4.2799999999999998E-2</v>
      </c>
      <c r="E375" s="3">
        <v>1</v>
      </c>
      <c r="F375" s="2">
        <v>9.9999000000000002</v>
      </c>
      <c r="G375" s="2">
        <v>0</v>
      </c>
      <c r="H375" s="2">
        <v>0</v>
      </c>
      <c r="I375" s="2">
        <v>0.08</v>
      </c>
      <c r="J375" s="2">
        <v>0</v>
      </c>
      <c r="K375" s="2">
        <v>0</v>
      </c>
      <c r="L375" s="4">
        <v>0.97</v>
      </c>
      <c r="M375" s="15"/>
    </row>
    <row r="376" spans="1:13" hidden="1" x14ac:dyDescent="0.25">
      <c r="A376" s="5">
        <v>45413</v>
      </c>
      <c r="B376" s="1" t="s">
        <v>15</v>
      </c>
      <c r="C376" s="1" t="s">
        <v>18</v>
      </c>
      <c r="D376" s="2">
        <v>5.3900000000000003E-2</v>
      </c>
      <c r="E376" s="3">
        <v>1</v>
      </c>
      <c r="F376" s="2">
        <v>9.9999000000000002</v>
      </c>
      <c r="G376" s="2">
        <v>0</v>
      </c>
      <c r="H376" s="2">
        <v>7.4999999999999997E-2</v>
      </c>
      <c r="I376" s="2">
        <v>0</v>
      </c>
      <c r="J376" s="2">
        <v>0</v>
      </c>
      <c r="K376" s="2">
        <v>0</v>
      </c>
      <c r="L376" s="4">
        <v>0.97</v>
      </c>
      <c r="M376" s="15"/>
    </row>
    <row r="377" spans="1:13" hidden="1" x14ac:dyDescent="0.25">
      <c r="A377" s="5">
        <v>45413</v>
      </c>
      <c r="B377" s="1" t="s">
        <v>19</v>
      </c>
      <c r="C377" s="1" t="s">
        <v>13</v>
      </c>
      <c r="D377" s="2">
        <v>4.0899999999999999E-2</v>
      </c>
      <c r="E377" s="3">
        <v>1</v>
      </c>
      <c r="F377" s="2">
        <v>7.2499999999999995E-2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4">
        <v>0.97</v>
      </c>
      <c r="M377" s="15"/>
    </row>
    <row r="378" spans="1:13" hidden="1" x14ac:dyDescent="0.25">
      <c r="A378" s="5">
        <v>45413</v>
      </c>
      <c r="B378" s="1" t="s">
        <v>19</v>
      </c>
      <c r="C378" s="1" t="s">
        <v>16</v>
      </c>
      <c r="D378" s="2">
        <v>2.5399999999999999E-2</v>
      </c>
      <c r="E378" s="3">
        <v>1</v>
      </c>
      <c r="F378" s="2">
        <v>0.06</v>
      </c>
      <c r="G378" s="2">
        <v>1.4999999999999999E-2</v>
      </c>
      <c r="H378" s="2">
        <v>0</v>
      </c>
      <c r="I378" s="2">
        <v>0</v>
      </c>
      <c r="J378" s="2">
        <v>0</v>
      </c>
      <c r="K378" s="2">
        <v>0</v>
      </c>
      <c r="L378" s="4">
        <v>0.97</v>
      </c>
      <c r="M378" s="15"/>
    </row>
    <row r="379" spans="1:13" hidden="1" x14ac:dyDescent="0.25">
      <c r="A379" s="5">
        <v>45413</v>
      </c>
      <c r="B379" s="1" t="s">
        <v>19</v>
      </c>
      <c r="C379" s="1" t="s">
        <v>17</v>
      </c>
      <c r="D379" s="2">
        <v>3.8399999999999997E-2</v>
      </c>
      <c r="E379" s="3">
        <v>1</v>
      </c>
      <c r="F379" s="2">
        <v>9.9999000000000002</v>
      </c>
      <c r="G379" s="2">
        <v>0</v>
      </c>
      <c r="H379" s="2">
        <v>0</v>
      </c>
      <c r="I379" s="2">
        <v>0.09</v>
      </c>
      <c r="J379" s="2">
        <v>0</v>
      </c>
      <c r="K379" s="2">
        <v>0</v>
      </c>
      <c r="L379" s="4">
        <v>0.97</v>
      </c>
      <c r="M379" s="15"/>
    </row>
    <row r="380" spans="1:13" hidden="1" x14ac:dyDescent="0.25">
      <c r="A380" s="5">
        <v>45413</v>
      </c>
      <c r="B380" s="1" t="s">
        <v>19</v>
      </c>
      <c r="C380" s="1" t="s">
        <v>18</v>
      </c>
      <c r="D380" s="2">
        <v>4.3099999999999999E-2</v>
      </c>
      <c r="E380" s="3">
        <v>1</v>
      </c>
      <c r="F380" s="2">
        <v>9.9999000000000002</v>
      </c>
      <c r="G380" s="2">
        <v>0</v>
      </c>
      <c r="H380" s="2">
        <v>0.06</v>
      </c>
      <c r="I380" s="2">
        <v>0</v>
      </c>
      <c r="J380" s="2">
        <v>0</v>
      </c>
      <c r="K380" s="2">
        <v>0</v>
      </c>
      <c r="L380" s="4">
        <v>0.97</v>
      </c>
      <c r="M380" s="15"/>
    </row>
    <row r="381" spans="1:13" hidden="1" x14ac:dyDescent="0.25">
      <c r="A381" s="5">
        <v>45413</v>
      </c>
      <c r="B381" s="1" t="s">
        <v>20</v>
      </c>
      <c r="C381" s="1" t="s">
        <v>13</v>
      </c>
      <c r="D381" s="2">
        <v>5.1900000000000002E-2</v>
      </c>
      <c r="E381" s="3">
        <v>1</v>
      </c>
      <c r="F381" s="2">
        <v>9.7500000000000003E-2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4">
        <v>0.97</v>
      </c>
      <c r="M381" s="15"/>
    </row>
    <row r="382" spans="1:13" hidden="1" x14ac:dyDescent="0.25">
      <c r="A382" s="5">
        <v>45413</v>
      </c>
      <c r="B382" s="1" t="s">
        <v>20</v>
      </c>
      <c r="C382" s="1" t="s">
        <v>17</v>
      </c>
      <c r="D382" s="2">
        <v>4.2799999999999998E-2</v>
      </c>
      <c r="E382" s="3">
        <v>1</v>
      </c>
      <c r="F382" s="2">
        <v>9.9999000000000002</v>
      </c>
      <c r="G382" s="2">
        <v>0</v>
      </c>
      <c r="H382" s="2">
        <v>0</v>
      </c>
      <c r="I382" s="2">
        <v>0.08</v>
      </c>
      <c r="J382" s="2">
        <v>0</v>
      </c>
      <c r="K382" s="2">
        <v>0</v>
      </c>
      <c r="L382" s="4">
        <v>0.97</v>
      </c>
      <c r="M382" s="15"/>
    </row>
    <row r="383" spans="1:13" hidden="1" x14ac:dyDescent="0.25">
      <c r="A383" s="5">
        <v>45413</v>
      </c>
      <c r="B383" s="1" t="s">
        <v>20</v>
      </c>
      <c r="C383" s="1" t="s">
        <v>21</v>
      </c>
      <c r="D383" s="2">
        <v>0.06</v>
      </c>
      <c r="E383" s="3">
        <v>1</v>
      </c>
      <c r="F383" s="2">
        <v>0.12</v>
      </c>
      <c r="G383" s="2">
        <v>0</v>
      </c>
      <c r="H383" s="2">
        <v>0</v>
      </c>
      <c r="I383" s="2">
        <v>0</v>
      </c>
      <c r="J383" s="2">
        <v>4.1500000000000002E-2</v>
      </c>
      <c r="K383" s="2">
        <v>0.6</v>
      </c>
      <c r="L383" s="4">
        <v>0.97</v>
      </c>
      <c r="M383" s="15"/>
    </row>
    <row r="384" spans="1:13" hidden="1" x14ac:dyDescent="0.25">
      <c r="A384" s="5">
        <v>45413</v>
      </c>
      <c r="B384" s="1" t="s">
        <v>20</v>
      </c>
      <c r="C384" s="1" t="s">
        <v>22</v>
      </c>
      <c r="D384" s="2">
        <v>0.06</v>
      </c>
      <c r="E384" s="3">
        <v>1</v>
      </c>
      <c r="F384" s="2">
        <v>0.12</v>
      </c>
      <c r="G384" s="2">
        <v>0</v>
      </c>
      <c r="H384" s="2">
        <v>0</v>
      </c>
      <c r="I384" s="2">
        <v>0</v>
      </c>
      <c r="J384" s="2">
        <v>2.1499999999999998E-2</v>
      </c>
      <c r="K384" s="2">
        <v>0.24</v>
      </c>
      <c r="L384" s="4">
        <v>0.97</v>
      </c>
      <c r="M384" s="15"/>
    </row>
    <row r="385" spans="1:13" hidden="1" x14ac:dyDescent="0.25">
      <c r="A385" s="5">
        <v>45413</v>
      </c>
      <c r="B385" s="1" t="s">
        <v>23</v>
      </c>
      <c r="C385" s="1" t="s">
        <v>24</v>
      </c>
      <c r="D385" s="2">
        <v>2.2499999999999999E-2</v>
      </c>
      <c r="E385" s="3">
        <v>2.4</v>
      </c>
      <c r="F385" s="2">
        <v>9.9999000000000002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4">
        <v>0.97</v>
      </c>
      <c r="M385" s="15"/>
    </row>
    <row r="386" spans="1:13" hidden="1" x14ac:dyDescent="0.25">
      <c r="A386" s="5">
        <v>45413</v>
      </c>
      <c r="B386" s="1" t="s">
        <v>23</v>
      </c>
      <c r="C386" s="1" t="s">
        <v>25</v>
      </c>
      <c r="D386" s="2">
        <v>5.33E-2</v>
      </c>
      <c r="E386" s="3">
        <v>1</v>
      </c>
      <c r="F386" s="2">
        <v>0.10249999999999999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4">
        <v>0.97</v>
      </c>
      <c r="M386" s="15"/>
    </row>
    <row r="387" spans="1:13" hidden="1" x14ac:dyDescent="0.25">
      <c r="A387" s="5">
        <v>45413</v>
      </c>
      <c r="B387" s="1" t="s">
        <v>23</v>
      </c>
      <c r="C387" s="1" t="s">
        <v>13</v>
      </c>
      <c r="D387" s="2">
        <v>5.4800000000000001E-2</v>
      </c>
      <c r="E387" s="3">
        <v>1</v>
      </c>
      <c r="F387" s="2">
        <v>0.10249999999999999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4">
        <v>0.97</v>
      </c>
      <c r="M387" s="15"/>
    </row>
    <row r="388" spans="1:13" hidden="1" x14ac:dyDescent="0.25">
      <c r="A388" s="5">
        <v>45413</v>
      </c>
      <c r="B388" s="1" t="s">
        <v>23</v>
      </c>
      <c r="C388" s="1" t="s">
        <v>17</v>
      </c>
      <c r="D388" s="2">
        <v>4.2799999999999998E-2</v>
      </c>
      <c r="E388" s="3">
        <v>1</v>
      </c>
      <c r="F388" s="2">
        <v>9.9999000000000002</v>
      </c>
      <c r="G388" s="2">
        <v>0</v>
      </c>
      <c r="H388" s="2">
        <v>0</v>
      </c>
      <c r="I388" s="2">
        <v>0.08</v>
      </c>
      <c r="J388" s="2">
        <v>0</v>
      </c>
      <c r="K388" s="2">
        <v>0</v>
      </c>
      <c r="L388" s="4">
        <v>0.97</v>
      </c>
      <c r="M388" s="15"/>
    </row>
    <row r="389" spans="1:13" hidden="1" x14ac:dyDescent="0.25">
      <c r="A389" s="5">
        <v>45413</v>
      </c>
      <c r="B389" s="1" t="s">
        <v>23</v>
      </c>
      <c r="C389" s="1" t="s">
        <v>21</v>
      </c>
      <c r="D389" s="2">
        <v>0.06</v>
      </c>
      <c r="E389" s="3">
        <v>1</v>
      </c>
      <c r="F389" s="2">
        <v>0.12</v>
      </c>
      <c r="G389" s="2">
        <v>0</v>
      </c>
      <c r="H389" s="2">
        <v>0</v>
      </c>
      <c r="I389" s="2">
        <v>0</v>
      </c>
      <c r="J389" s="2">
        <v>4.1500000000000002E-2</v>
      </c>
      <c r="K389" s="2">
        <v>0.6</v>
      </c>
      <c r="L389" s="4">
        <v>0.97</v>
      </c>
      <c r="M389" s="15"/>
    </row>
    <row r="390" spans="1:13" hidden="1" x14ac:dyDescent="0.25">
      <c r="A390" s="5">
        <v>45413</v>
      </c>
      <c r="B390" s="1" t="s">
        <v>23</v>
      </c>
      <c r="C390" s="1" t="s">
        <v>22</v>
      </c>
      <c r="D390" s="2">
        <v>0.06</v>
      </c>
      <c r="E390" s="3">
        <v>1</v>
      </c>
      <c r="F390" s="2">
        <v>0.12</v>
      </c>
      <c r="G390" s="2">
        <v>0</v>
      </c>
      <c r="H390" s="2">
        <v>0</v>
      </c>
      <c r="I390" s="2">
        <v>0</v>
      </c>
      <c r="J390" s="2">
        <v>2.1499999999999998E-2</v>
      </c>
      <c r="K390" s="2">
        <v>0.24</v>
      </c>
      <c r="L390" s="4">
        <v>0.97</v>
      </c>
      <c r="M390" s="15"/>
    </row>
    <row r="391" spans="1:13" hidden="1" x14ac:dyDescent="0.25">
      <c r="A391" s="5">
        <v>45413</v>
      </c>
      <c r="B391" s="1" t="s">
        <v>26</v>
      </c>
      <c r="C391" s="1" t="s">
        <v>24</v>
      </c>
      <c r="D391" s="2">
        <v>2.2499999999999999E-2</v>
      </c>
      <c r="E391" s="3">
        <v>2.4</v>
      </c>
      <c r="F391" s="2">
        <v>9.9999000000000002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4">
        <v>0.97</v>
      </c>
      <c r="M391" s="15"/>
    </row>
    <row r="392" spans="1:13" hidden="1" x14ac:dyDescent="0.25">
      <c r="A392" s="5">
        <v>45413</v>
      </c>
      <c r="B392" s="1" t="s">
        <v>26</v>
      </c>
      <c r="C392" s="1" t="s">
        <v>25</v>
      </c>
      <c r="D392" s="2">
        <v>5.33E-2</v>
      </c>
      <c r="E392" s="3">
        <v>1</v>
      </c>
      <c r="F392" s="2">
        <v>0.1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4">
        <v>0.97</v>
      </c>
      <c r="M392" s="15"/>
    </row>
    <row r="393" spans="1:13" hidden="1" x14ac:dyDescent="0.25">
      <c r="A393" s="5">
        <v>45413</v>
      </c>
      <c r="B393" s="1" t="s">
        <v>26</v>
      </c>
      <c r="C393" s="1" t="s">
        <v>13</v>
      </c>
      <c r="D393" s="2">
        <v>5.4800000000000001E-2</v>
      </c>
      <c r="E393" s="3">
        <v>1</v>
      </c>
      <c r="F393" s="2">
        <v>0.1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4">
        <v>0.97</v>
      </c>
      <c r="M393" s="15"/>
    </row>
    <row r="394" spans="1:13" hidden="1" x14ac:dyDescent="0.25">
      <c r="A394" s="5">
        <v>45413</v>
      </c>
      <c r="B394" s="1" t="s">
        <v>26</v>
      </c>
      <c r="C394" s="1" t="s">
        <v>17</v>
      </c>
      <c r="D394" s="2">
        <v>4.2799999999999998E-2</v>
      </c>
      <c r="E394" s="3">
        <v>1</v>
      </c>
      <c r="F394" s="2">
        <v>9.9999000000000002</v>
      </c>
      <c r="G394" s="2">
        <v>0</v>
      </c>
      <c r="H394" s="2">
        <v>0</v>
      </c>
      <c r="I394" s="2">
        <v>0.08</v>
      </c>
      <c r="J394" s="2">
        <v>0</v>
      </c>
      <c r="K394" s="2">
        <v>0</v>
      </c>
      <c r="L394" s="4">
        <v>0.97</v>
      </c>
      <c r="M394" s="15"/>
    </row>
    <row r="395" spans="1:13" hidden="1" x14ac:dyDescent="0.25">
      <c r="A395" s="5">
        <v>45413</v>
      </c>
      <c r="B395" s="1" t="s">
        <v>26</v>
      </c>
      <c r="C395" s="1" t="s">
        <v>21</v>
      </c>
      <c r="D395" s="2">
        <v>0.06</v>
      </c>
      <c r="E395" s="3">
        <v>1</v>
      </c>
      <c r="F395" s="2">
        <v>0.12</v>
      </c>
      <c r="G395" s="2">
        <v>0</v>
      </c>
      <c r="H395" s="2">
        <v>0</v>
      </c>
      <c r="I395" s="2">
        <v>0</v>
      </c>
      <c r="J395" s="2">
        <v>4.1500000000000002E-2</v>
      </c>
      <c r="K395" s="2">
        <v>0.6</v>
      </c>
      <c r="L395" s="4">
        <v>0.97</v>
      </c>
      <c r="M395" s="15"/>
    </row>
    <row r="396" spans="1:13" hidden="1" x14ac:dyDescent="0.25">
      <c r="A396" s="5">
        <v>45413</v>
      </c>
      <c r="B396" s="1" t="s">
        <v>26</v>
      </c>
      <c r="C396" s="1" t="s">
        <v>22</v>
      </c>
      <c r="D396" s="2">
        <v>0.06</v>
      </c>
      <c r="E396" s="3">
        <v>1</v>
      </c>
      <c r="F396" s="2">
        <v>0.12</v>
      </c>
      <c r="G396" s="2">
        <v>0</v>
      </c>
      <c r="H396" s="2">
        <v>0</v>
      </c>
      <c r="I396" s="2">
        <v>0</v>
      </c>
      <c r="J396" s="2">
        <v>2.1499999999999998E-2</v>
      </c>
      <c r="K396" s="2">
        <v>0.24</v>
      </c>
      <c r="L396" s="4">
        <v>0.97</v>
      </c>
      <c r="M396" s="15"/>
    </row>
    <row r="397" spans="1:13" hidden="1" x14ac:dyDescent="0.25">
      <c r="A397" s="5">
        <v>45413</v>
      </c>
      <c r="B397" s="1" t="s">
        <v>27</v>
      </c>
      <c r="C397" s="1" t="s">
        <v>13</v>
      </c>
      <c r="D397" s="2">
        <v>4.9799999999999997E-2</v>
      </c>
      <c r="E397" s="3">
        <v>1</v>
      </c>
      <c r="F397" s="2">
        <v>9.2499999999999999E-2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4">
        <v>0.97</v>
      </c>
      <c r="M397" s="15"/>
    </row>
    <row r="398" spans="1:13" hidden="1" x14ac:dyDescent="0.25">
      <c r="A398" s="5">
        <v>45413</v>
      </c>
      <c r="B398" s="1" t="s">
        <v>27</v>
      </c>
      <c r="C398" s="1" t="s">
        <v>17</v>
      </c>
      <c r="D398" s="2">
        <v>3.8399999999999997E-2</v>
      </c>
      <c r="E398" s="3">
        <v>1</v>
      </c>
      <c r="F398" s="2">
        <v>9.9999000000000002</v>
      </c>
      <c r="G398" s="2">
        <v>0</v>
      </c>
      <c r="H398" s="2">
        <v>0</v>
      </c>
      <c r="I398" s="2">
        <v>0.09</v>
      </c>
      <c r="J398" s="2">
        <v>0</v>
      </c>
      <c r="K398" s="2">
        <v>0</v>
      </c>
      <c r="L398" s="4">
        <v>0.97</v>
      </c>
      <c r="M398" s="15"/>
    </row>
    <row r="399" spans="1:13" hidden="1" x14ac:dyDescent="0.25">
      <c r="A399" s="5">
        <v>45413</v>
      </c>
      <c r="B399" s="1" t="s">
        <v>27</v>
      </c>
      <c r="C399" s="1" t="s">
        <v>24</v>
      </c>
      <c r="D399" s="2">
        <v>2.2499999999999999E-2</v>
      </c>
      <c r="E399" s="3">
        <v>2.2000000000000002</v>
      </c>
      <c r="F399" s="2">
        <v>9.9999000000000002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4">
        <v>0.97</v>
      </c>
      <c r="M399" s="15"/>
    </row>
    <row r="400" spans="1:13" hidden="1" x14ac:dyDescent="0.25">
      <c r="A400" s="5">
        <v>45413</v>
      </c>
      <c r="B400" s="1" t="s">
        <v>27</v>
      </c>
      <c r="C400" s="1" t="s">
        <v>25</v>
      </c>
      <c r="D400" s="2">
        <v>4.8099999999999997E-2</v>
      </c>
      <c r="E400" s="3">
        <v>1</v>
      </c>
      <c r="F400" s="2">
        <v>9.2499999999999999E-2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4">
        <v>0.97</v>
      </c>
      <c r="M400" s="15"/>
    </row>
    <row r="401" spans="1:13" hidden="1" x14ac:dyDescent="0.25">
      <c r="A401" s="5">
        <v>45413</v>
      </c>
      <c r="B401" s="1" t="s">
        <v>28</v>
      </c>
      <c r="C401" s="1" t="s">
        <v>13</v>
      </c>
      <c r="D401" s="2">
        <v>4.7E-2</v>
      </c>
      <c r="E401" s="3">
        <v>1</v>
      </c>
      <c r="F401" s="2">
        <v>8.5000000000000006E-2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4">
        <v>0.97</v>
      </c>
      <c r="M401" s="15"/>
    </row>
    <row r="402" spans="1:13" hidden="1" x14ac:dyDescent="0.25">
      <c r="A402" s="5">
        <v>45413</v>
      </c>
      <c r="B402" s="1" t="s">
        <v>28</v>
      </c>
      <c r="C402" s="1" t="s">
        <v>16</v>
      </c>
      <c r="D402" s="2">
        <v>3.0499999999999999E-2</v>
      </c>
      <c r="E402" s="3">
        <v>1</v>
      </c>
      <c r="F402" s="2">
        <v>7.0000000000000007E-2</v>
      </c>
      <c r="G402" s="2">
        <v>1.4999999999999999E-2</v>
      </c>
      <c r="H402" s="2">
        <v>0</v>
      </c>
      <c r="I402" s="2">
        <v>0</v>
      </c>
      <c r="J402" s="2">
        <v>0</v>
      </c>
      <c r="K402" s="2">
        <v>0</v>
      </c>
      <c r="L402" s="4">
        <v>0.97</v>
      </c>
      <c r="M402" s="15"/>
    </row>
    <row r="403" spans="1:13" hidden="1" x14ac:dyDescent="0.25">
      <c r="A403" s="5">
        <v>45413</v>
      </c>
      <c r="B403" s="1" t="s">
        <v>28</v>
      </c>
      <c r="C403" s="1" t="s">
        <v>17</v>
      </c>
      <c r="D403" s="2">
        <v>3.8800000000000001E-2</v>
      </c>
      <c r="E403" s="3">
        <v>1</v>
      </c>
      <c r="F403" s="2">
        <v>9.9999000000000002</v>
      </c>
      <c r="G403" s="2">
        <v>0</v>
      </c>
      <c r="H403" s="2">
        <v>0</v>
      </c>
      <c r="I403" s="2">
        <v>7.7499999999999999E-2</v>
      </c>
      <c r="J403" s="2">
        <v>0</v>
      </c>
      <c r="K403" s="2">
        <v>0</v>
      </c>
      <c r="L403" s="4">
        <v>0.97</v>
      </c>
      <c r="M403" s="15"/>
    </row>
    <row r="404" spans="1:13" hidden="1" x14ac:dyDescent="0.25">
      <c r="A404" s="5">
        <v>45413</v>
      </c>
      <c r="B404" s="1" t="s">
        <v>28</v>
      </c>
      <c r="C404" s="1" t="s">
        <v>18</v>
      </c>
      <c r="D404" s="2">
        <v>4.7100000000000003E-2</v>
      </c>
      <c r="E404" s="3">
        <v>1</v>
      </c>
      <c r="F404" s="2">
        <v>9.9999000000000002</v>
      </c>
      <c r="G404" s="2">
        <v>0</v>
      </c>
      <c r="H404" s="2">
        <v>6.5000000000000002E-2</v>
      </c>
      <c r="I404" s="2">
        <v>0</v>
      </c>
      <c r="J404" s="2">
        <v>0</v>
      </c>
      <c r="K404" s="2">
        <v>0</v>
      </c>
      <c r="L404" s="4">
        <v>0.97</v>
      </c>
      <c r="M404" s="15"/>
    </row>
    <row r="405" spans="1:13" hidden="1" x14ac:dyDescent="0.25">
      <c r="A405" s="5">
        <v>45413</v>
      </c>
      <c r="B405" s="1" t="s">
        <v>29</v>
      </c>
      <c r="C405" s="1" t="s">
        <v>13</v>
      </c>
      <c r="D405" s="2">
        <v>4.36E-2</v>
      </c>
      <c r="E405" s="3">
        <v>1</v>
      </c>
      <c r="F405" s="2">
        <v>7.7499999999999999E-2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4">
        <v>0.97</v>
      </c>
      <c r="M405" s="15"/>
    </row>
    <row r="406" spans="1:13" hidden="1" x14ac:dyDescent="0.25">
      <c r="A406" s="5">
        <v>45413</v>
      </c>
      <c r="B406" s="1" t="s">
        <v>29</v>
      </c>
      <c r="C406" s="1" t="s">
        <v>16</v>
      </c>
      <c r="D406" s="2">
        <v>2.4400000000000002E-2</v>
      </c>
      <c r="E406" s="3">
        <v>1</v>
      </c>
      <c r="F406" s="2">
        <v>5.7500000000000002E-2</v>
      </c>
      <c r="G406" s="2">
        <v>1.4999999999999999E-2</v>
      </c>
      <c r="H406" s="2">
        <v>0</v>
      </c>
      <c r="I406" s="2">
        <v>0</v>
      </c>
      <c r="J406" s="2">
        <v>0</v>
      </c>
      <c r="K406" s="2">
        <v>0</v>
      </c>
      <c r="L406" s="4">
        <v>0.97</v>
      </c>
      <c r="M406" s="15"/>
    </row>
    <row r="407" spans="1:13" hidden="1" x14ac:dyDescent="0.25">
      <c r="A407" s="5">
        <v>45413</v>
      </c>
      <c r="B407" s="1" t="s">
        <v>29</v>
      </c>
      <c r="C407" s="1" t="s">
        <v>17</v>
      </c>
      <c r="D407" s="2">
        <v>3.4599999999999999E-2</v>
      </c>
      <c r="E407" s="3">
        <v>1</v>
      </c>
      <c r="F407" s="2">
        <v>9.9999000000000002</v>
      </c>
      <c r="G407" s="2">
        <v>0</v>
      </c>
      <c r="H407" s="2">
        <v>0</v>
      </c>
      <c r="I407" s="2">
        <v>8.6999999999999994E-2</v>
      </c>
      <c r="J407" s="2">
        <v>0</v>
      </c>
      <c r="K407" s="2">
        <v>0</v>
      </c>
      <c r="L407" s="4">
        <v>0.97</v>
      </c>
      <c r="M407" s="15"/>
    </row>
    <row r="408" spans="1:13" hidden="1" x14ac:dyDescent="0.25">
      <c r="A408" s="5">
        <v>45413</v>
      </c>
      <c r="B408" s="1" t="s">
        <v>29</v>
      </c>
      <c r="C408" s="1" t="s">
        <v>18</v>
      </c>
      <c r="D408" s="2">
        <v>4.1300000000000003E-2</v>
      </c>
      <c r="E408" s="3">
        <v>1</v>
      </c>
      <c r="F408" s="2">
        <v>9.9999000000000002</v>
      </c>
      <c r="G408" s="2">
        <v>0</v>
      </c>
      <c r="H408" s="2">
        <v>5.7000000000000002E-2</v>
      </c>
      <c r="I408" s="2">
        <v>0</v>
      </c>
      <c r="J408" s="2">
        <v>0</v>
      </c>
      <c r="K408" s="2">
        <v>0</v>
      </c>
      <c r="L408" s="4">
        <v>0.97</v>
      </c>
      <c r="M408" s="15"/>
    </row>
    <row r="409" spans="1:13" hidden="1" x14ac:dyDescent="0.25">
      <c r="A409" s="5">
        <v>45446</v>
      </c>
      <c r="B409" s="1" t="s">
        <v>12</v>
      </c>
      <c r="C409" s="1" t="s">
        <v>13</v>
      </c>
      <c r="D409" s="2">
        <v>5.0999999999999997E-2</v>
      </c>
      <c r="E409" s="3">
        <v>1</v>
      </c>
      <c r="F409" s="2">
        <v>9.7500000000000003E-2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4">
        <v>0.97</v>
      </c>
      <c r="M409" s="15"/>
    </row>
    <row r="410" spans="1:13" hidden="1" x14ac:dyDescent="0.25">
      <c r="A410" s="5">
        <v>45446</v>
      </c>
      <c r="B410" s="1" t="s">
        <v>15</v>
      </c>
      <c r="C410" s="1" t="s">
        <v>13</v>
      </c>
      <c r="D410" s="2">
        <v>5.0999999999999997E-2</v>
      </c>
      <c r="E410" s="3">
        <v>1</v>
      </c>
      <c r="F410" s="2">
        <v>9.7500000000000003E-2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4">
        <v>0.97</v>
      </c>
      <c r="M410" s="15"/>
    </row>
    <row r="411" spans="1:13" hidden="1" x14ac:dyDescent="0.25">
      <c r="A411" s="5">
        <v>45446</v>
      </c>
      <c r="B411" s="1" t="s">
        <v>15</v>
      </c>
      <c r="C411" s="1" t="s">
        <v>16</v>
      </c>
      <c r="D411" s="2">
        <v>3.6499999999999998E-2</v>
      </c>
      <c r="E411" s="3">
        <v>1</v>
      </c>
      <c r="F411" s="2">
        <v>8.5000000000000006E-2</v>
      </c>
      <c r="G411" s="2">
        <v>1.4999999999999999E-2</v>
      </c>
      <c r="H411" s="2">
        <v>0</v>
      </c>
      <c r="I411" s="2">
        <v>0</v>
      </c>
      <c r="J411" s="2">
        <v>0</v>
      </c>
      <c r="K411" s="2">
        <v>0</v>
      </c>
      <c r="L411" s="4">
        <v>0.97</v>
      </c>
      <c r="M411" s="15"/>
    </row>
    <row r="412" spans="1:13" hidden="1" x14ac:dyDescent="0.25">
      <c r="A412" s="5">
        <v>45446</v>
      </c>
      <c r="B412" s="1" t="s">
        <v>15</v>
      </c>
      <c r="C412" s="1" t="s">
        <v>17</v>
      </c>
      <c r="D412" s="2">
        <v>3.5999999999999997E-2</v>
      </c>
      <c r="E412" s="3">
        <v>1</v>
      </c>
      <c r="F412" s="2">
        <v>9.9999000000000002</v>
      </c>
      <c r="G412" s="2">
        <v>0</v>
      </c>
      <c r="H412" s="2">
        <v>0</v>
      </c>
      <c r="I412" s="2">
        <v>0.08</v>
      </c>
      <c r="J412" s="2">
        <v>0</v>
      </c>
      <c r="K412" s="2">
        <v>0</v>
      </c>
      <c r="L412" s="4">
        <v>0.97</v>
      </c>
      <c r="M412" s="15"/>
    </row>
    <row r="413" spans="1:13" hidden="1" x14ac:dyDescent="0.25">
      <c r="A413" s="5">
        <v>45446</v>
      </c>
      <c r="B413" s="1" t="s">
        <v>15</v>
      </c>
      <c r="C413" s="1" t="s">
        <v>18</v>
      </c>
      <c r="D413" s="2">
        <v>5.5300000000000002E-2</v>
      </c>
      <c r="E413" s="3">
        <v>1</v>
      </c>
      <c r="F413" s="2">
        <v>9.9999000000000002</v>
      </c>
      <c r="G413" s="2">
        <v>0</v>
      </c>
      <c r="H413" s="2">
        <v>7.4999999999999997E-2</v>
      </c>
      <c r="I413" s="2">
        <v>0</v>
      </c>
      <c r="J413" s="2">
        <v>0</v>
      </c>
      <c r="K413" s="2">
        <v>0</v>
      </c>
      <c r="L413" s="4">
        <v>0.97</v>
      </c>
      <c r="M413" s="15"/>
    </row>
    <row r="414" spans="1:13" hidden="1" x14ac:dyDescent="0.25">
      <c r="A414" s="5">
        <v>45446</v>
      </c>
      <c r="B414" s="1" t="s">
        <v>19</v>
      </c>
      <c r="C414" s="1" t="s">
        <v>13</v>
      </c>
      <c r="D414" s="2">
        <v>4.0399999999999998E-2</v>
      </c>
      <c r="E414" s="3">
        <v>1</v>
      </c>
      <c r="F414" s="2">
        <v>7.2499999999999995E-2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4">
        <v>0.97</v>
      </c>
      <c r="M414" s="15"/>
    </row>
    <row r="415" spans="1:13" hidden="1" x14ac:dyDescent="0.25">
      <c r="A415" s="5">
        <v>45446</v>
      </c>
      <c r="B415" s="1" t="s">
        <v>19</v>
      </c>
      <c r="C415" s="1" t="s">
        <v>16</v>
      </c>
      <c r="D415" s="2">
        <v>2.5100000000000001E-2</v>
      </c>
      <c r="E415" s="3">
        <v>1</v>
      </c>
      <c r="F415" s="2">
        <v>0.06</v>
      </c>
      <c r="G415" s="2">
        <v>1.4999999999999999E-2</v>
      </c>
      <c r="H415" s="2">
        <v>0</v>
      </c>
      <c r="I415" s="2">
        <v>0</v>
      </c>
      <c r="J415" s="2">
        <v>0</v>
      </c>
      <c r="K415" s="2">
        <v>0</v>
      </c>
      <c r="L415" s="4">
        <v>0.97</v>
      </c>
      <c r="M415" s="15"/>
    </row>
    <row r="416" spans="1:13" hidden="1" x14ac:dyDescent="0.25">
      <c r="A416" s="5">
        <v>45446</v>
      </c>
      <c r="B416" s="1" t="s">
        <v>19</v>
      </c>
      <c r="C416" s="1" t="s">
        <v>17</v>
      </c>
      <c r="D416" s="2">
        <v>3.1800000000000002E-2</v>
      </c>
      <c r="E416" s="3">
        <v>1</v>
      </c>
      <c r="F416" s="2">
        <v>9.9999000000000002</v>
      </c>
      <c r="G416" s="2">
        <v>0</v>
      </c>
      <c r="H416" s="2">
        <v>0</v>
      </c>
      <c r="I416" s="2">
        <v>0.09</v>
      </c>
      <c r="J416" s="2">
        <v>0</v>
      </c>
      <c r="K416" s="2">
        <v>0</v>
      </c>
      <c r="L416" s="4">
        <v>0.97</v>
      </c>
      <c r="M416" s="15"/>
    </row>
    <row r="417" spans="1:13" hidden="1" x14ac:dyDescent="0.25">
      <c r="A417" s="5">
        <v>45446</v>
      </c>
      <c r="B417" s="1" t="s">
        <v>19</v>
      </c>
      <c r="C417" s="1" t="s">
        <v>18</v>
      </c>
      <c r="D417" s="2">
        <v>4.4200000000000003E-2</v>
      </c>
      <c r="E417" s="3">
        <v>1</v>
      </c>
      <c r="F417" s="2">
        <v>9.9999000000000002</v>
      </c>
      <c r="G417" s="2">
        <v>0</v>
      </c>
      <c r="H417" s="2">
        <v>0.06</v>
      </c>
      <c r="I417" s="2">
        <v>0</v>
      </c>
      <c r="J417" s="2">
        <v>0</v>
      </c>
      <c r="K417" s="2">
        <v>0</v>
      </c>
      <c r="L417" s="4">
        <v>0.97</v>
      </c>
      <c r="M417" s="15"/>
    </row>
    <row r="418" spans="1:13" hidden="1" x14ac:dyDescent="0.25">
      <c r="A418" s="5">
        <v>45446</v>
      </c>
      <c r="B418" s="1" t="s">
        <v>20</v>
      </c>
      <c r="C418" s="1" t="s">
        <v>13</v>
      </c>
      <c r="D418" s="2">
        <v>5.0999999999999997E-2</v>
      </c>
      <c r="E418" s="3">
        <v>1</v>
      </c>
      <c r="F418" s="2">
        <v>9.7500000000000003E-2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4">
        <v>0.97</v>
      </c>
      <c r="M418" s="15"/>
    </row>
    <row r="419" spans="1:13" hidden="1" x14ac:dyDescent="0.25">
      <c r="A419" s="5">
        <v>45446</v>
      </c>
      <c r="B419" s="1" t="s">
        <v>20</v>
      </c>
      <c r="C419" s="1" t="s">
        <v>17</v>
      </c>
      <c r="D419" s="2">
        <v>3.5999999999999997E-2</v>
      </c>
      <c r="E419" s="3">
        <v>1</v>
      </c>
      <c r="F419" s="2">
        <v>9.9999000000000002</v>
      </c>
      <c r="G419" s="2">
        <v>0</v>
      </c>
      <c r="H419" s="2">
        <v>0</v>
      </c>
      <c r="I419" s="2">
        <v>0.08</v>
      </c>
      <c r="J419" s="2">
        <v>0</v>
      </c>
      <c r="K419" s="2">
        <v>0</v>
      </c>
      <c r="L419" s="4">
        <v>0.97</v>
      </c>
      <c r="M419" s="15"/>
    </row>
    <row r="420" spans="1:13" hidden="1" x14ac:dyDescent="0.25">
      <c r="A420" s="5">
        <v>45446</v>
      </c>
      <c r="B420" s="1" t="s">
        <v>20</v>
      </c>
      <c r="C420" s="1" t="s">
        <v>21</v>
      </c>
      <c r="D420" s="2">
        <v>5.8500000000000003E-2</v>
      </c>
      <c r="E420" s="3">
        <v>1</v>
      </c>
      <c r="F420" s="2">
        <v>0.12</v>
      </c>
      <c r="G420" s="2">
        <v>0</v>
      </c>
      <c r="H420" s="2">
        <v>0</v>
      </c>
      <c r="I420" s="2">
        <v>0</v>
      </c>
      <c r="J420" s="2">
        <v>4.1500000000000002E-2</v>
      </c>
      <c r="K420" s="2">
        <v>0.6</v>
      </c>
      <c r="L420" s="4">
        <v>0.97</v>
      </c>
      <c r="M420" s="15"/>
    </row>
    <row r="421" spans="1:13" hidden="1" x14ac:dyDescent="0.25">
      <c r="A421" s="5">
        <v>45446</v>
      </c>
      <c r="B421" s="1" t="s">
        <v>20</v>
      </c>
      <c r="C421" s="1" t="s">
        <v>22</v>
      </c>
      <c r="D421" s="2">
        <v>5.8500000000000003E-2</v>
      </c>
      <c r="E421" s="3">
        <v>1</v>
      </c>
      <c r="F421" s="2">
        <v>0.12</v>
      </c>
      <c r="G421" s="2">
        <v>0</v>
      </c>
      <c r="H421" s="2">
        <v>0</v>
      </c>
      <c r="I421" s="2">
        <v>0</v>
      </c>
      <c r="J421" s="2">
        <v>2.1499999999999998E-2</v>
      </c>
      <c r="K421" s="2">
        <v>0.24</v>
      </c>
      <c r="L421" s="4">
        <v>0.97</v>
      </c>
      <c r="M421" s="15"/>
    </row>
    <row r="422" spans="1:13" hidden="1" x14ac:dyDescent="0.25">
      <c r="A422" s="5">
        <v>45446</v>
      </c>
      <c r="B422" s="1" t="s">
        <v>23</v>
      </c>
      <c r="C422" s="1" t="s">
        <v>24</v>
      </c>
      <c r="D422" s="2">
        <v>2.2499999999999999E-2</v>
      </c>
      <c r="E422" s="3">
        <v>2.4</v>
      </c>
      <c r="F422" s="2">
        <v>9.9999000000000002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4">
        <v>0.97</v>
      </c>
      <c r="M422" s="15"/>
    </row>
    <row r="423" spans="1:13" hidden="1" x14ac:dyDescent="0.25">
      <c r="A423" s="5">
        <v>45446</v>
      </c>
      <c r="B423" s="1" t="s">
        <v>23</v>
      </c>
      <c r="C423" s="1" t="s">
        <v>25</v>
      </c>
      <c r="D423" s="2">
        <v>5.1400000000000001E-2</v>
      </c>
      <c r="E423" s="3">
        <v>1</v>
      </c>
      <c r="F423" s="2">
        <v>0.10249999999999999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4">
        <v>0.97</v>
      </c>
      <c r="M423" s="15"/>
    </row>
    <row r="424" spans="1:13" hidden="1" x14ac:dyDescent="0.25">
      <c r="A424" s="5">
        <v>45446</v>
      </c>
      <c r="B424" s="1" t="s">
        <v>23</v>
      </c>
      <c r="C424" s="1" t="s">
        <v>13</v>
      </c>
      <c r="D424" s="2">
        <v>5.28E-2</v>
      </c>
      <c r="E424" s="3">
        <v>1</v>
      </c>
      <c r="F424" s="2">
        <v>0.10249999999999999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4">
        <v>0.97</v>
      </c>
      <c r="M424" s="15"/>
    </row>
    <row r="425" spans="1:13" hidden="1" x14ac:dyDescent="0.25">
      <c r="A425" s="5">
        <v>45446</v>
      </c>
      <c r="B425" s="1" t="s">
        <v>23</v>
      </c>
      <c r="C425" s="1" t="s">
        <v>17</v>
      </c>
      <c r="D425" s="2">
        <v>3.5999999999999997E-2</v>
      </c>
      <c r="E425" s="3">
        <v>1</v>
      </c>
      <c r="F425" s="2">
        <v>9.9999000000000002</v>
      </c>
      <c r="G425" s="2">
        <v>0</v>
      </c>
      <c r="H425" s="2">
        <v>0</v>
      </c>
      <c r="I425" s="2">
        <v>0.08</v>
      </c>
      <c r="J425" s="2">
        <v>0</v>
      </c>
      <c r="K425" s="2">
        <v>0</v>
      </c>
      <c r="L425" s="4">
        <v>0.97</v>
      </c>
      <c r="M425" s="15"/>
    </row>
    <row r="426" spans="1:13" hidden="1" x14ac:dyDescent="0.25">
      <c r="A426" s="5">
        <v>45446</v>
      </c>
      <c r="B426" s="1" t="s">
        <v>23</v>
      </c>
      <c r="C426" s="1" t="s">
        <v>21</v>
      </c>
      <c r="D426" s="2">
        <v>5.8500000000000003E-2</v>
      </c>
      <c r="E426" s="3">
        <v>1</v>
      </c>
      <c r="F426" s="2">
        <v>0.12</v>
      </c>
      <c r="G426" s="2">
        <v>0</v>
      </c>
      <c r="H426" s="2">
        <v>0</v>
      </c>
      <c r="I426" s="2">
        <v>0</v>
      </c>
      <c r="J426" s="2">
        <v>4.1500000000000002E-2</v>
      </c>
      <c r="K426" s="2">
        <v>0.6</v>
      </c>
      <c r="L426" s="4">
        <v>0.97</v>
      </c>
      <c r="M426" s="15"/>
    </row>
    <row r="427" spans="1:13" hidden="1" x14ac:dyDescent="0.25">
      <c r="A427" s="5">
        <v>45446</v>
      </c>
      <c r="B427" s="1" t="s">
        <v>23</v>
      </c>
      <c r="C427" s="1" t="s">
        <v>22</v>
      </c>
      <c r="D427" s="2">
        <v>5.8500000000000003E-2</v>
      </c>
      <c r="E427" s="3">
        <v>1</v>
      </c>
      <c r="F427" s="2">
        <v>0.12</v>
      </c>
      <c r="G427" s="2">
        <v>0</v>
      </c>
      <c r="H427" s="2">
        <v>0</v>
      </c>
      <c r="I427" s="2">
        <v>0</v>
      </c>
      <c r="J427" s="2">
        <v>2.1499999999999998E-2</v>
      </c>
      <c r="K427" s="2">
        <v>0.24</v>
      </c>
      <c r="L427" s="4">
        <v>0.97</v>
      </c>
      <c r="M427" s="15"/>
    </row>
    <row r="428" spans="1:13" hidden="1" x14ac:dyDescent="0.25">
      <c r="A428" s="5">
        <v>45446</v>
      </c>
      <c r="B428" s="1" t="s">
        <v>26</v>
      </c>
      <c r="C428" s="1" t="s">
        <v>24</v>
      </c>
      <c r="D428" s="2">
        <v>2.2499999999999999E-2</v>
      </c>
      <c r="E428" s="3">
        <v>2.4</v>
      </c>
      <c r="F428" s="2">
        <v>9.9999000000000002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4">
        <v>0.97</v>
      </c>
      <c r="M428" s="15"/>
    </row>
    <row r="429" spans="1:13" hidden="1" x14ac:dyDescent="0.25">
      <c r="A429" s="5">
        <v>45446</v>
      </c>
      <c r="B429" s="1" t="s">
        <v>26</v>
      </c>
      <c r="C429" s="1" t="s">
        <v>25</v>
      </c>
      <c r="D429" s="2">
        <v>5.04E-2</v>
      </c>
      <c r="E429" s="3">
        <v>1</v>
      </c>
      <c r="F429" s="2">
        <v>0.1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4">
        <v>0.97</v>
      </c>
      <c r="M429" s="15"/>
    </row>
    <row r="430" spans="1:13" hidden="1" x14ac:dyDescent="0.25">
      <c r="A430" s="5">
        <v>45446</v>
      </c>
      <c r="B430" s="1" t="s">
        <v>26</v>
      </c>
      <c r="C430" s="1" t="s">
        <v>13</v>
      </c>
      <c r="D430" s="2">
        <v>5.1900000000000002E-2</v>
      </c>
      <c r="E430" s="3">
        <v>1</v>
      </c>
      <c r="F430" s="2">
        <v>0.1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4">
        <v>0.97</v>
      </c>
      <c r="M430" s="15"/>
    </row>
    <row r="431" spans="1:13" hidden="1" x14ac:dyDescent="0.25">
      <c r="A431" s="5">
        <v>45446</v>
      </c>
      <c r="B431" s="1" t="s">
        <v>26</v>
      </c>
      <c r="C431" s="1" t="s">
        <v>17</v>
      </c>
      <c r="D431" s="2">
        <v>3.5999999999999997E-2</v>
      </c>
      <c r="E431" s="3">
        <v>1</v>
      </c>
      <c r="F431" s="2">
        <v>9.9999000000000002</v>
      </c>
      <c r="G431" s="2">
        <v>0</v>
      </c>
      <c r="H431" s="2">
        <v>0</v>
      </c>
      <c r="I431" s="2">
        <v>0.08</v>
      </c>
      <c r="J431" s="2">
        <v>0</v>
      </c>
      <c r="K431" s="2">
        <v>0</v>
      </c>
      <c r="L431" s="4">
        <v>0.97</v>
      </c>
      <c r="M431" s="15"/>
    </row>
    <row r="432" spans="1:13" hidden="1" x14ac:dyDescent="0.25">
      <c r="A432" s="5">
        <v>45446</v>
      </c>
      <c r="B432" s="1" t="s">
        <v>26</v>
      </c>
      <c r="C432" s="1" t="s">
        <v>21</v>
      </c>
      <c r="D432" s="2">
        <v>5.8500000000000003E-2</v>
      </c>
      <c r="E432" s="3">
        <v>1</v>
      </c>
      <c r="F432" s="2">
        <v>0.12</v>
      </c>
      <c r="G432" s="2">
        <v>0</v>
      </c>
      <c r="H432" s="2">
        <v>0</v>
      </c>
      <c r="I432" s="2">
        <v>0</v>
      </c>
      <c r="J432" s="2">
        <v>4.1500000000000002E-2</v>
      </c>
      <c r="K432" s="2">
        <v>0.6</v>
      </c>
      <c r="L432" s="4">
        <v>0.97</v>
      </c>
      <c r="M432" s="15"/>
    </row>
    <row r="433" spans="1:13" hidden="1" x14ac:dyDescent="0.25">
      <c r="A433" s="5">
        <v>45446</v>
      </c>
      <c r="B433" s="1" t="s">
        <v>26</v>
      </c>
      <c r="C433" s="1" t="s">
        <v>22</v>
      </c>
      <c r="D433" s="2">
        <v>5.8500000000000003E-2</v>
      </c>
      <c r="E433" s="3">
        <v>1</v>
      </c>
      <c r="F433" s="2">
        <v>0.12</v>
      </c>
      <c r="G433" s="2">
        <v>0</v>
      </c>
      <c r="H433" s="2">
        <v>0</v>
      </c>
      <c r="I433" s="2">
        <v>0</v>
      </c>
      <c r="J433" s="2">
        <v>2.1499999999999998E-2</v>
      </c>
      <c r="K433" s="2">
        <v>0.24</v>
      </c>
      <c r="L433" s="4">
        <v>0.97</v>
      </c>
      <c r="M433" s="15"/>
    </row>
    <row r="434" spans="1:13" hidden="1" x14ac:dyDescent="0.25">
      <c r="A434" s="5">
        <v>45446</v>
      </c>
      <c r="B434" s="1" t="s">
        <v>27</v>
      </c>
      <c r="C434" s="1" t="s">
        <v>13</v>
      </c>
      <c r="D434" s="2">
        <v>4.9000000000000002E-2</v>
      </c>
      <c r="E434" s="3">
        <v>1</v>
      </c>
      <c r="F434" s="2">
        <v>9.2499999999999999E-2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4">
        <v>0.97</v>
      </c>
      <c r="M434" s="15"/>
    </row>
    <row r="435" spans="1:13" hidden="1" x14ac:dyDescent="0.25">
      <c r="A435" s="5">
        <v>45446</v>
      </c>
      <c r="B435" s="1" t="s">
        <v>27</v>
      </c>
      <c r="C435" s="1" t="s">
        <v>17</v>
      </c>
      <c r="D435" s="2">
        <v>3.1800000000000002E-2</v>
      </c>
      <c r="E435" s="3">
        <v>1</v>
      </c>
      <c r="F435" s="2">
        <v>9.9999000000000002</v>
      </c>
      <c r="G435" s="2">
        <v>0</v>
      </c>
      <c r="H435" s="2">
        <v>0</v>
      </c>
      <c r="I435" s="2">
        <v>0.09</v>
      </c>
      <c r="J435" s="2">
        <v>0</v>
      </c>
      <c r="K435" s="2">
        <v>0</v>
      </c>
      <c r="L435" s="4">
        <v>0.97</v>
      </c>
      <c r="M435" s="15"/>
    </row>
    <row r="436" spans="1:13" hidden="1" x14ac:dyDescent="0.25">
      <c r="A436" s="5">
        <v>45446</v>
      </c>
      <c r="B436" s="1" t="s">
        <v>27</v>
      </c>
      <c r="C436" s="1" t="s">
        <v>24</v>
      </c>
      <c r="D436" s="2">
        <v>2.2499999999999999E-2</v>
      </c>
      <c r="E436" s="3">
        <v>2.2000000000000002</v>
      </c>
      <c r="F436" s="2">
        <v>9.9999000000000002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4">
        <v>0.97</v>
      </c>
      <c r="M436" s="15"/>
    </row>
    <row r="437" spans="1:13" hidden="1" x14ac:dyDescent="0.25">
      <c r="A437" s="5">
        <v>45446</v>
      </c>
      <c r="B437" s="1" t="s">
        <v>27</v>
      </c>
      <c r="C437" s="1" t="s">
        <v>25</v>
      </c>
      <c r="D437" s="2">
        <v>4.7399999999999998E-2</v>
      </c>
      <c r="E437" s="3">
        <v>1</v>
      </c>
      <c r="F437" s="2">
        <v>9.2499999999999999E-2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4">
        <v>0.97</v>
      </c>
      <c r="M437" s="15"/>
    </row>
    <row r="438" spans="1:13" hidden="1" x14ac:dyDescent="0.25">
      <c r="A438" s="5">
        <v>45446</v>
      </c>
      <c r="B438" s="1" t="s">
        <v>28</v>
      </c>
      <c r="C438" s="1" t="s">
        <v>13</v>
      </c>
      <c r="D438" s="2">
        <v>4.7E-2</v>
      </c>
      <c r="E438" s="3">
        <v>1</v>
      </c>
      <c r="F438" s="2">
        <v>8.5000000000000006E-2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4">
        <v>0.97</v>
      </c>
      <c r="M438" s="15"/>
    </row>
    <row r="439" spans="1:13" hidden="1" x14ac:dyDescent="0.25">
      <c r="A439" s="5">
        <v>45446</v>
      </c>
      <c r="B439" s="1" t="s">
        <v>28</v>
      </c>
      <c r="C439" s="1" t="s">
        <v>16</v>
      </c>
      <c r="D439" s="2">
        <v>3.0499999999999999E-2</v>
      </c>
      <c r="E439" s="3">
        <v>1</v>
      </c>
      <c r="F439" s="2">
        <v>7.0000000000000007E-2</v>
      </c>
      <c r="G439" s="2">
        <v>1.4999999999999999E-2</v>
      </c>
      <c r="H439" s="2">
        <v>0</v>
      </c>
      <c r="I439" s="2">
        <v>0</v>
      </c>
      <c r="J439" s="2">
        <v>0</v>
      </c>
      <c r="K439" s="2">
        <v>0</v>
      </c>
      <c r="L439" s="4">
        <v>0.97</v>
      </c>
      <c r="M439" s="15"/>
    </row>
    <row r="440" spans="1:13" hidden="1" x14ac:dyDescent="0.25">
      <c r="A440" s="5">
        <v>45446</v>
      </c>
      <c r="B440" s="1" t="s">
        <v>28</v>
      </c>
      <c r="C440" s="1" t="s">
        <v>17</v>
      </c>
      <c r="D440" s="2">
        <v>3.8800000000000001E-2</v>
      </c>
      <c r="E440" s="3">
        <v>1</v>
      </c>
      <c r="F440" s="2">
        <v>9.9999000000000002</v>
      </c>
      <c r="G440" s="2">
        <v>0</v>
      </c>
      <c r="H440" s="2">
        <v>0</v>
      </c>
      <c r="I440" s="2">
        <v>7.7499999999999999E-2</v>
      </c>
      <c r="J440" s="2">
        <v>0</v>
      </c>
      <c r="K440" s="2">
        <v>0</v>
      </c>
      <c r="L440" s="4">
        <v>0.97</v>
      </c>
      <c r="M440" s="15"/>
    </row>
    <row r="441" spans="1:13" hidden="1" x14ac:dyDescent="0.25">
      <c r="A441" s="5">
        <v>45446</v>
      </c>
      <c r="B441" s="1" t="s">
        <v>28</v>
      </c>
      <c r="C441" s="1" t="s">
        <v>18</v>
      </c>
      <c r="D441" s="2">
        <v>4.7100000000000003E-2</v>
      </c>
      <c r="E441" s="3">
        <v>1</v>
      </c>
      <c r="F441" s="2">
        <v>9.9999000000000002</v>
      </c>
      <c r="G441" s="2">
        <v>0</v>
      </c>
      <c r="H441" s="2">
        <v>6.5000000000000002E-2</v>
      </c>
      <c r="I441" s="2">
        <v>0</v>
      </c>
      <c r="J441" s="2">
        <v>0</v>
      </c>
      <c r="K441" s="2">
        <v>0</v>
      </c>
      <c r="L441" s="4">
        <v>0.97</v>
      </c>
      <c r="M441" s="15"/>
    </row>
    <row r="442" spans="1:13" hidden="1" x14ac:dyDescent="0.25">
      <c r="A442" s="5">
        <v>45446</v>
      </c>
      <c r="B442" s="1" t="s">
        <v>29</v>
      </c>
      <c r="C442" s="1" t="s">
        <v>13</v>
      </c>
      <c r="D442" s="2">
        <v>4.36E-2</v>
      </c>
      <c r="E442" s="3">
        <v>1</v>
      </c>
      <c r="F442" s="2">
        <v>7.7499999999999999E-2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4">
        <v>0.97</v>
      </c>
      <c r="M442" s="15"/>
    </row>
    <row r="443" spans="1:13" hidden="1" x14ac:dyDescent="0.25">
      <c r="A443" s="5">
        <v>45446</v>
      </c>
      <c r="B443" s="1" t="s">
        <v>29</v>
      </c>
      <c r="C443" s="1" t="s">
        <v>16</v>
      </c>
      <c r="D443" s="2">
        <v>2.4400000000000002E-2</v>
      </c>
      <c r="E443" s="3">
        <v>1</v>
      </c>
      <c r="F443" s="2">
        <v>5.7500000000000002E-2</v>
      </c>
      <c r="G443" s="2">
        <v>1.4999999999999999E-2</v>
      </c>
      <c r="H443" s="2">
        <v>0</v>
      </c>
      <c r="I443" s="2">
        <v>0</v>
      </c>
      <c r="J443" s="2">
        <v>0</v>
      </c>
      <c r="K443" s="2">
        <v>0</v>
      </c>
      <c r="L443" s="4">
        <v>0.97</v>
      </c>
      <c r="M443" s="15"/>
    </row>
    <row r="444" spans="1:13" hidden="1" x14ac:dyDescent="0.25">
      <c r="A444" s="5">
        <v>45446</v>
      </c>
      <c r="B444" s="1" t="s">
        <v>29</v>
      </c>
      <c r="C444" s="1" t="s">
        <v>17</v>
      </c>
      <c r="D444" s="2">
        <v>3.4599999999999999E-2</v>
      </c>
      <c r="E444" s="3">
        <v>1</v>
      </c>
      <c r="F444" s="2">
        <v>9.9999000000000002</v>
      </c>
      <c r="G444" s="2">
        <v>0</v>
      </c>
      <c r="H444" s="2">
        <v>0</v>
      </c>
      <c r="I444" s="2">
        <v>8.6999999999999994E-2</v>
      </c>
      <c r="J444" s="2">
        <v>0</v>
      </c>
      <c r="K444" s="2">
        <v>0</v>
      </c>
      <c r="L444" s="4">
        <v>0.97</v>
      </c>
      <c r="M444" s="15"/>
    </row>
    <row r="445" spans="1:13" hidden="1" x14ac:dyDescent="0.25">
      <c r="A445" s="5">
        <v>45446</v>
      </c>
      <c r="B445" s="1" t="s">
        <v>29</v>
      </c>
      <c r="C445" s="1" t="s">
        <v>18</v>
      </c>
      <c r="D445" s="2">
        <v>4.1300000000000003E-2</v>
      </c>
      <c r="E445" s="3">
        <v>1</v>
      </c>
      <c r="F445" s="2">
        <v>9.9999000000000002</v>
      </c>
      <c r="G445" s="2">
        <v>0</v>
      </c>
      <c r="H445" s="2">
        <v>5.7000000000000002E-2</v>
      </c>
      <c r="I445" s="2">
        <v>0</v>
      </c>
      <c r="J445" s="2">
        <v>0</v>
      </c>
      <c r="K445" s="2">
        <v>0</v>
      </c>
      <c r="L445" s="4">
        <v>0.97</v>
      </c>
      <c r="M445" s="15"/>
    </row>
    <row r="446" spans="1:13" hidden="1" x14ac:dyDescent="0.25">
      <c r="A446" s="5">
        <v>45474</v>
      </c>
      <c r="B446" s="1" t="s">
        <v>12</v>
      </c>
      <c r="C446" s="1" t="s">
        <v>13</v>
      </c>
      <c r="D446" s="2">
        <v>5.1499999999999997E-2</v>
      </c>
      <c r="E446" s="3">
        <v>1</v>
      </c>
      <c r="F446" s="2">
        <v>9.7500000000000003E-2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4">
        <v>0.97</v>
      </c>
      <c r="M446" s="15"/>
    </row>
    <row r="447" spans="1:13" hidden="1" x14ac:dyDescent="0.25">
      <c r="A447" s="5">
        <v>45474</v>
      </c>
      <c r="B447" s="1" t="s">
        <v>15</v>
      </c>
      <c r="C447" s="1" t="s">
        <v>13</v>
      </c>
      <c r="D447" s="2">
        <v>5.1499999999999997E-2</v>
      </c>
      <c r="E447" s="3">
        <v>1</v>
      </c>
      <c r="F447" s="2">
        <v>9.7500000000000003E-2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4">
        <v>0.97</v>
      </c>
      <c r="M447" s="15"/>
    </row>
    <row r="448" spans="1:13" hidden="1" x14ac:dyDescent="0.25">
      <c r="A448" s="5">
        <v>45474</v>
      </c>
      <c r="B448" s="1" t="s">
        <v>15</v>
      </c>
      <c r="C448" s="1" t="s">
        <v>16</v>
      </c>
      <c r="D448" s="2">
        <v>3.6900000000000002E-2</v>
      </c>
      <c r="E448" s="3">
        <v>1</v>
      </c>
      <c r="F448" s="2">
        <v>8.5000000000000006E-2</v>
      </c>
      <c r="G448" s="2">
        <v>1.4999999999999999E-2</v>
      </c>
      <c r="H448" s="2">
        <v>0</v>
      </c>
      <c r="I448" s="2">
        <v>0</v>
      </c>
      <c r="J448" s="2">
        <v>0</v>
      </c>
      <c r="K448" s="2">
        <v>0</v>
      </c>
      <c r="L448" s="4">
        <v>0.97</v>
      </c>
      <c r="M448" s="15"/>
    </row>
    <row r="449" spans="1:13" hidden="1" x14ac:dyDescent="0.25">
      <c r="A449" s="5">
        <v>45474</v>
      </c>
      <c r="B449" s="1" t="s">
        <v>15</v>
      </c>
      <c r="C449" s="1" t="s">
        <v>17</v>
      </c>
      <c r="D449" s="2">
        <v>3.5400000000000001E-2</v>
      </c>
      <c r="E449" s="3">
        <v>1</v>
      </c>
      <c r="F449" s="2">
        <v>9.9999000000000002</v>
      </c>
      <c r="G449" s="2">
        <v>0</v>
      </c>
      <c r="H449" s="2">
        <v>0</v>
      </c>
      <c r="I449" s="2">
        <v>0.08</v>
      </c>
      <c r="J449" s="2">
        <v>0</v>
      </c>
      <c r="K449" s="2">
        <v>0</v>
      </c>
      <c r="L449" s="4">
        <v>0.97</v>
      </c>
      <c r="M449" s="15"/>
    </row>
    <row r="450" spans="1:13" hidden="1" x14ac:dyDescent="0.25">
      <c r="A450" s="5">
        <v>45474</v>
      </c>
      <c r="B450" s="1" t="s">
        <v>15</v>
      </c>
      <c r="C450" s="1" t="s">
        <v>18</v>
      </c>
      <c r="D450" s="2">
        <v>5.5100000000000003E-2</v>
      </c>
      <c r="E450" s="3">
        <v>1</v>
      </c>
      <c r="F450" s="2">
        <v>9.9999000000000002</v>
      </c>
      <c r="G450" s="2">
        <v>0</v>
      </c>
      <c r="H450" s="2">
        <v>7.4999999999999997E-2</v>
      </c>
      <c r="I450" s="2">
        <v>0</v>
      </c>
      <c r="J450" s="2">
        <v>0</v>
      </c>
      <c r="K450" s="2">
        <v>0</v>
      </c>
      <c r="L450" s="4">
        <v>0.97</v>
      </c>
      <c r="M450" s="15"/>
    </row>
    <row r="451" spans="1:13" hidden="1" x14ac:dyDescent="0.25">
      <c r="A451" s="5">
        <v>45474</v>
      </c>
      <c r="B451" s="1" t="s">
        <v>19</v>
      </c>
      <c r="C451" s="1" t="s">
        <v>13</v>
      </c>
      <c r="D451" s="2">
        <v>4.0899999999999999E-2</v>
      </c>
      <c r="E451" s="3">
        <v>1</v>
      </c>
      <c r="F451" s="2">
        <v>7.2499999999999995E-2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4">
        <v>0.97</v>
      </c>
      <c r="M451" s="15"/>
    </row>
    <row r="452" spans="1:13" hidden="1" x14ac:dyDescent="0.25">
      <c r="A452" s="5">
        <v>45474</v>
      </c>
      <c r="B452" s="1" t="s">
        <v>19</v>
      </c>
      <c r="C452" s="1" t="s">
        <v>16</v>
      </c>
      <c r="D452" s="2">
        <v>3.4700000000000002E-2</v>
      </c>
      <c r="E452" s="3">
        <v>1</v>
      </c>
      <c r="F452" s="2">
        <v>0.06</v>
      </c>
      <c r="G452" s="2">
        <v>1.4999999999999999E-2</v>
      </c>
      <c r="H452" s="2">
        <v>0</v>
      </c>
      <c r="I452" s="2">
        <v>0</v>
      </c>
      <c r="J452" s="2">
        <v>0</v>
      </c>
      <c r="K452" s="2">
        <v>0</v>
      </c>
      <c r="L452" s="4">
        <v>0.97</v>
      </c>
      <c r="M452" s="15"/>
    </row>
    <row r="453" spans="1:13" hidden="1" x14ac:dyDescent="0.25">
      <c r="A453" s="5">
        <v>45474</v>
      </c>
      <c r="B453" s="1" t="s">
        <v>19</v>
      </c>
      <c r="C453" s="1" t="s">
        <v>17</v>
      </c>
      <c r="D453" s="2">
        <v>3.1099999999999999E-2</v>
      </c>
      <c r="E453" s="3">
        <v>1</v>
      </c>
      <c r="F453" s="2">
        <v>9.9999000000000002</v>
      </c>
      <c r="G453" s="2">
        <v>0</v>
      </c>
      <c r="H453" s="2">
        <v>0</v>
      </c>
      <c r="I453" s="2">
        <v>0.09</v>
      </c>
      <c r="J453" s="2">
        <v>0</v>
      </c>
      <c r="K453" s="2">
        <v>0</v>
      </c>
      <c r="L453" s="4">
        <v>0.97</v>
      </c>
      <c r="M453" s="15"/>
    </row>
    <row r="454" spans="1:13" hidden="1" x14ac:dyDescent="0.25">
      <c r="A454" s="5">
        <v>45474</v>
      </c>
      <c r="B454" s="1" t="s">
        <v>19</v>
      </c>
      <c r="C454" s="1" t="s">
        <v>18</v>
      </c>
      <c r="D454" s="2">
        <v>4.41E-2</v>
      </c>
      <c r="E454" s="3">
        <v>1</v>
      </c>
      <c r="F454" s="2">
        <v>9.9999000000000002</v>
      </c>
      <c r="G454" s="2">
        <v>0</v>
      </c>
      <c r="H454" s="2">
        <v>0.06</v>
      </c>
      <c r="I454" s="2">
        <v>0</v>
      </c>
      <c r="J454" s="2">
        <v>0</v>
      </c>
      <c r="K454" s="2">
        <v>0</v>
      </c>
      <c r="L454" s="4">
        <v>0.97</v>
      </c>
      <c r="M454" s="15"/>
    </row>
    <row r="455" spans="1:13" hidden="1" x14ac:dyDescent="0.25">
      <c r="A455" s="5">
        <v>45474</v>
      </c>
      <c r="B455" s="1" t="s">
        <v>20</v>
      </c>
      <c r="C455" s="1" t="s">
        <v>13</v>
      </c>
      <c r="D455" s="2">
        <v>5.1499999999999997E-2</v>
      </c>
      <c r="E455" s="3">
        <v>1</v>
      </c>
      <c r="F455" s="2">
        <v>9.7500000000000003E-2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4">
        <v>0.97</v>
      </c>
      <c r="M455" s="15"/>
    </row>
    <row r="456" spans="1:13" hidden="1" x14ac:dyDescent="0.25">
      <c r="A456" s="5">
        <v>45474</v>
      </c>
      <c r="B456" s="1" t="s">
        <v>20</v>
      </c>
      <c r="C456" s="1" t="s">
        <v>17</v>
      </c>
      <c r="D456" s="2">
        <v>3.5400000000000001E-2</v>
      </c>
      <c r="E456" s="3">
        <v>1</v>
      </c>
      <c r="F456" s="2">
        <v>9.9999000000000002</v>
      </c>
      <c r="G456" s="2">
        <v>0</v>
      </c>
      <c r="H456" s="2">
        <v>0</v>
      </c>
      <c r="I456" s="2">
        <v>0.08</v>
      </c>
      <c r="J456" s="2">
        <v>0</v>
      </c>
      <c r="K456" s="2">
        <v>0</v>
      </c>
      <c r="L456" s="4">
        <v>0.97</v>
      </c>
      <c r="M456" s="15"/>
    </row>
    <row r="457" spans="1:13" hidden="1" x14ac:dyDescent="0.25">
      <c r="A457" s="5">
        <v>45474</v>
      </c>
      <c r="B457" s="1" t="s">
        <v>20</v>
      </c>
      <c r="C457" s="1" t="s">
        <v>21</v>
      </c>
      <c r="D457" s="2">
        <v>5.8999999999999997E-2</v>
      </c>
      <c r="E457" s="3">
        <v>1</v>
      </c>
      <c r="F457" s="2">
        <v>0.12</v>
      </c>
      <c r="G457" s="2">
        <v>0</v>
      </c>
      <c r="H457" s="2">
        <v>0</v>
      </c>
      <c r="I457" s="2">
        <v>0</v>
      </c>
      <c r="J457" s="2">
        <v>4.1500000000000002E-2</v>
      </c>
      <c r="K457" s="2">
        <v>0.6</v>
      </c>
      <c r="L457" s="4">
        <v>0.97</v>
      </c>
      <c r="M457" s="15"/>
    </row>
    <row r="458" spans="1:13" hidden="1" x14ac:dyDescent="0.25">
      <c r="A458" s="5">
        <v>45474</v>
      </c>
      <c r="B458" s="1" t="s">
        <v>20</v>
      </c>
      <c r="C458" s="1" t="s">
        <v>22</v>
      </c>
      <c r="D458" s="2">
        <v>5.8999999999999997E-2</v>
      </c>
      <c r="E458" s="3">
        <v>1</v>
      </c>
      <c r="F458" s="2">
        <v>0.12</v>
      </c>
      <c r="G458" s="2">
        <v>0</v>
      </c>
      <c r="H458" s="2">
        <v>0</v>
      </c>
      <c r="I458" s="2">
        <v>0</v>
      </c>
      <c r="J458" s="2">
        <v>2.1499999999999998E-2</v>
      </c>
      <c r="K458" s="2">
        <v>0.24</v>
      </c>
      <c r="L458" s="4">
        <v>0.97</v>
      </c>
      <c r="M458" s="15"/>
    </row>
    <row r="459" spans="1:13" hidden="1" x14ac:dyDescent="0.25">
      <c r="A459" s="5">
        <v>45474</v>
      </c>
      <c r="B459" s="1" t="s">
        <v>23</v>
      </c>
      <c r="C459" s="1" t="s">
        <v>24</v>
      </c>
      <c r="D459" s="2">
        <v>2.2800000000000001E-2</v>
      </c>
      <c r="E459" s="3">
        <v>2.4</v>
      </c>
      <c r="F459" s="2">
        <v>9.9999000000000002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4">
        <v>0.97</v>
      </c>
      <c r="M459" s="15"/>
    </row>
    <row r="460" spans="1:13" hidden="1" x14ac:dyDescent="0.25">
      <c r="A460" s="5">
        <v>45474</v>
      </c>
      <c r="B460" s="1" t="s">
        <v>23</v>
      </c>
      <c r="C460" s="1" t="s">
        <v>25</v>
      </c>
      <c r="D460" s="2">
        <v>5.1999999999999998E-2</v>
      </c>
      <c r="E460" s="3">
        <v>1</v>
      </c>
      <c r="F460" s="2">
        <v>0.10249999999999999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4">
        <v>0.97</v>
      </c>
      <c r="M460" s="15"/>
    </row>
    <row r="461" spans="1:13" hidden="1" x14ac:dyDescent="0.25">
      <c r="A461" s="5">
        <v>45474</v>
      </c>
      <c r="B461" s="1" t="s">
        <v>23</v>
      </c>
      <c r="C461" s="1" t="s">
        <v>13</v>
      </c>
      <c r="D461" s="2">
        <v>5.3400000000000003E-2</v>
      </c>
      <c r="E461" s="3">
        <v>1</v>
      </c>
      <c r="F461" s="2">
        <v>0.10249999999999999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4">
        <v>0.97</v>
      </c>
      <c r="M461" s="15"/>
    </row>
    <row r="462" spans="1:13" hidden="1" x14ac:dyDescent="0.25">
      <c r="A462" s="5">
        <v>45474</v>
      </c>
      <c r="B462" s="1" t="s">
        <v>23</v>
      </c>
      <c r="C462" s="1" t="s">
        <v>17</v>
      </c>
      <c r="D462" s="2">
        <v>3.5400000000000001E-2</v>
      </c>
      <c r="E462" s="3">
        <v>1</v>
      </c>
      <c r="F462" s="2">
        <v>9.9999000000000002</v>
      </c>
      <c r="G462" s="2">
        <v>0</v>
      </c>
      <c r="H462" s="2">
        <v>0</v>
      </c>
      <c r="I462" s="2">
        <v>0.08</v>
      </c>
      <c r="J462" s="2">
        <v>0</v>
      </c>
      <c r="K462" s="2">
        <v>0</v>
      </c>
      <c r="L462" s="4">
        <v>0.97</v>
      </c>
      <c r="M462" s="15"/>
    </row>
    <row r="463" spans="1:13" hidden="1" x14ac:dyDescent="0.25">
      <c r="A463" s="5">
        <v>45474</v>
      </c>
      <c r="B463" s="1" t="s">
        <v>23</v>
      </c>
      <c r="C463" s="1" t="s">
        <v>21</v>
      </c>
      <c r="D463" s="2">
        <v>5.8999999999999997E-2</v>
      </c>
      <c r="E463" s="3">
        <v>1</v>
      </c>
      <c r="F463" s="2">
        <v>0.12</v>
      </c>
      <c r="G463" s="2">
        <v>0</v>
      </c>
      <c r="H463" s="2">
        <v>0</v>
      </c>
      <c r="I463" s="2">
        <v>0</v>
      </c>
      <c r="J463" s="2">
        <v>4.1500000000000002E-2</v>
      </c>
      <c r="K463" s="2">
        <v>0.6</v>
      </c>
      <c r="L463" s="4">
        <v>0.97</v>
      </c>
      <c r="M463" s="15"/>
    </row>
    <row r="464" spans="1:13" hidden="1" x14ac:dyDescent="0.25">
      <c r="A464" s="5">
        <v>45474</v>
      </c>
      <c r="B464" s="1" t="s">
        <v>23</v>
      </c>
      <c r="C464" s="1" t="s">
        <v>22</v>
      </c>
      <c r="D464" s="2">
        <v>5.8999999999999997E-2</v>
      </c>
      <c r="E464" s="3">
        <v>1</v>
      </c>
      <c r="F464" s="2">
        <v>0.12</v>
      </c>
      <c r="G464" s="2">
        <v>0</v>
      </c>
      <c r="H464" s="2">
        <v>0</v>
      </c>
      <c r="I464" s="2">
        <v>0</v>
      </c>
      <c r="J464" s="2">
        <v>2.1499999999999998E-2</v>
      </c>
      <c r="K464" s="2">
        <v>0.24</v>
      </c>
      <c r="L464" s="4">
        <v>0.97</v>
      </c>
      <c r="M464" s="15"/>
    </row>
    <row r="465" spans="1:13" hidden="1" x14ac:dyDescent="0.25">
      <c r="A465" s="5">
        <v>45474</v>
      </c>
      <c r="B465" s="1" t="s">
        <v>26</v>
      </c>
      <c r="C465" s="1" t="s">
        <v>24</v>
      </c>
      <c r="D465" s="2">
        <v>2.2800000000000001E-2</v>
      </c>
      <c r="E465" s="3">
        <v>2.4</v>
      </c>
      <c r="F465" s="2">
        <v>9.9999000000000002</v>
      </c>
      <c r="G465" s="2">
        <v>0</v>
      </c>
      <c r="H465" s="2">
        <v>0</v>
      </c>
      <c r="I465" s="2">
        <v>0</v>
      </c>
      <c r="J465" s="2">
        <v>0</v>
      </c>
      <c r="K465" s="2">
        <v>0</v>
      </c>
      <c r="L465" s="4">
        <v>0.97</v>
      </c>
      <c r="M465" s="15"/>
    </row>
    <row r="466" spans="1:13" hidden="1" x14ac:dyDescent="0.25">
      <c r="A466" s="5">
        <v>45474</v>
      </c>
      <c r="B466" s="1" t="s">
        <v>26</v>
      </c>
      <c r="C466" s="1" t="s">
        <v>25</v>
      </c>
      <c r="D466" s="2">
        <v>5.0999999999999997E-2</v>
      </c>
      <c r="E466" s="3">
        <v>1</v>
      </c>
      <c r="F466" s="2">
        <v>0.1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4">
        <v>0.97</v>
      </c>
      <c r="M466" s="15"/>
    </row>
    <row r="467" spans="1:13" hidden="1" x14ac:dyDescent="0.25">
      <c r="A467" s="5">
        <v>45474</v>
      </c>
      <c r="B467" s="1" t="s">
        <v>26</v>
      </c>
      <c r="C467" s="1" t="s">
        <v>13</v>
      </c>
      <c r="D467" s="2">
        <v>5.2499999999999998E-2</v>
      </c>
      <c r="E467" s="3">
        <v>1</v>
      </c>
      <c r="F467" s="2">
        <v>0.1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4">
        <v>0.97</v>
      </c>
      <c r="M467" s="15"/>
    </row>
    <row r="468" spans="1:13" hidden="1" x14ac:dyDescent="0.25">
      <c r="A468" s="5">
        <v>45474</v>
      </c>
      <c r="B468" s="1" t="s">
        <v>26</v>
      </c>
      <c r="C468" s="1" t="s">
        <v>17</v>
      </c>
      <c r="D468" s="2">
        <v>3.5400000000000001E-2</v>
      </c>
      <c r="E468" s="3">
        <v>1</v>
      </c>
      <c r="F468" s="2">
        <v>9.9999000000000002</v>
      </c>
      <c r="G468" s="2">
        <v>0</v>
      </c>
      <c r="H468" s="2">
        <v>0</v>
      </c>
      <c r="I468" s="2">
        <v>0.08</v>
      </c>
      <c r="J468" s="2">
        <v>0</v>
      </c>
      <c r="K468" s="2">
        <v>0</v>
      </c>
      <c r="L468" s="4">
        <v>0.97</v>
      </c>
      <c r="M468" s="15"/>
    </row>
    <row r="469" spans="1:13" hidden="1" x14ac:dyDescent="0.25">
      <c r="A469" s="5">
        <v>45474</v>
      </c>
      <c r="B469" s="1" t="s">
        <v>26</v>
      </c>
      <c r="C469" s="1" t="s">
        <v>21</v>
      </c>
      <c r="D469" s="2">
        <v>5.8999999999999997E-2</v>
      </c>
      <c r="E469" s="3">
        <v>1</v>
      </c>
      <c r="F469" s="2">
        <v>0.12</v>
      </c>
      <c r="G469" s="2">
        <v>0</v>
      </c>
      <c r="H469" s="2">
        <v>0</v>
      </c>
      <c r="I469" s="2">
        <v>0</v>
      </c>
      <c r="J469" s="2">
        <v>4.1500000000000002E-2</v>
      </c>
      <c r="K469" s="2">
        <v>0.6</v>
      </c>
      <c r="L469" s="4">
        <v>0.97</v>
      </c>
      <c r="M469" s="15"/>
    </row>
    <row r="470" spans="1:13" hidden="1" x14ac:dyDescent="0.25">
      <c r="A470" s="5">
        <v>45474</v>
      </c>
      <c r="B470" s="1" t="s">
        <v>26</v>
      </c>
      <c r="C470" s="1" t="s">
        <v>22</v>
      </c>
      <c r="D470" s="2">
        <v>5.8999999999999997E-2</v>
      </c>
      <c r="E470" s="3">
        <v>1</v>
      </c>
      <c r="F470" s="2">
        <v>0.12</v>
      </c>
      <c r="G470" s="2">
        <v>0</v>
      </c>
      <c r="H470" s="2">
        <v>0</v>
      </c>
      <c r="I470" s="2">
        <v>0</v>
      </c>
      <c r="J470" s="2">
        <v>2.1499999999999998E-2</v>
      </c>
      <c r="K470" s="2">
        <v>0.24</v>
      </c>
      <c r="L470" s="4">
        <v>0.97</v>
      </c>
      <c r="M470" s="15"/>
    </row>
    <row r="471" spans="1:13" hidden="1" x14ac:dyDescent="0.25">
      <c r="A471" s="5">
        <v>45474</v>
      </c>
      <c r="B471" s="1" t="s">
        <v>27</v>
      </c>
      <c r="C471" s="1" t="s">
        <v>13</v>
      </c>
      <c r="D471" s="2">
        <v>4.9599999999999998E-2</v>
      </c>
      <c r="E471" s="3">
        <v>1</v>
      </c>
      <c r="F471" s="2">
        <v>9.2499999999999999E-2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4">
        <v>0.97</v>
      </c>
      <c r="M471" s="15"/>
    </row>
    <row r="472" spans="1:13" hidden="1" x14ac:dyDescent="0.25">
      <c r="A472" s="5">
        <v>45474</v>
      </c>
      <c r="B472" s="1" t="s">
        <v>27</v>
      </c>
      <c r="C472" s="1" t="s">
        <v>17</v>
      </c>
      <c r="D472" s="2">
        <v>3.1099999999999999E-2</v>
      </c>
      <c r="E472" s="3">
        <v>1</v>
      </c>
      <c r="F472" s="2">
        <v>9.9999000000000002</v>
      </c>
      <c r="G472" s="2">
        <v>0</v>
      </c>
      <c r="H472" s="2">
        <v>0</v>
      </c>
      <c r="I472" s="2">
        <v>0.09</v>
      </c>
      <c r="J472" s="2">
        <v>0</v>
      </c>
      <c r="K472" s="2">
        <v>0</v>
      </c>
      <c r="L472" s="4">
        <v>0.97</v>
      </c>
      <c r="M472" s="15"/>
    </row>
    <row r="473" spans="1:13" hidden="1" x14ac:dyDescent="0.25">
      <c r="A473" s="5">
        <v>45474</v>
      </c>
      <c r="B473" s="1" t="s">
        <v>27</v>
      </c>
      <c r="C473" s="1" t="s">
        <v>24</v>
      </c>
      <c r="D473" s="2">
        <v>2.2800000000000001E-2</v>
      </c>
      <c r="E473" s="3">
        <v>2.2000000000000002</v>
      </c>
      <c r="F473" s="2">
        <v>9.9999000000000002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4">
        <v>0.97</v>
      </c>
      <c r="M473" s="15"/>
    </row>
    <row r="474" spans="1:13" hidden="1" x14ac:dyDescent="0.25">
      <c r="A474" s="5">
        <v>45474</v>
      </c>
      <c r="B474" s="1" t="s">
        <v>27</v>
      </c>
      <c r="C474" s="1" t="s">
        <v>25</v>
      </c>
      <c r="D474" s="2">
        <v>4.7899999999999998E-2</v>
      </c>
      <c r="E474" s="3">
        <v>1</v>
      </c>
      <c r="F474" s="2">
        <v>9.2499999999999999E-2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4">
        <v>0.97</v>
      </c>
      <c r="M474" s="15"/>
    </row>
    <row r="475" spans="1:13" hidden="1" x14ac:dyDescent="0.25">
      <c r="A475" s="5">
        <v>45474</v>
      </c>
      <c r="B475" s="1" t="s">
        <v>30</v>
      </c>
      <c r="C475" s="1" t="s">
        <v>13</v>
      </c>
      <c r="D475" s="2">
        <v>5.0599999999999999E-2</v>
      </c>
      <c r="E475" s="3">
        <v>1</v>
      </c>
      <c r="F475" s="2">
        <v>9.5000000000000001E-2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4">
        <v>0.97</v>
      </c>
      <c r="M475" s="15"/>
    </row>
    <row r="476" spans="1:13" hidden="1" x14ac:dyDescent="0.25">
      <c r="A476" s="5">
        <v>45474</v>
      </c>
      <c r="B476" s="1" t="s">
        <v>30</v>
      </c>
      <c r="C476" s="1" t="s">
        <v>17</v>
      </c>
      <c r="D476" s="2">
        <v>3.1099999999999999E-2</v>
      </c>
      <c r="E476" s="3">
        <v>1</v>
      </c>
      <c r="F476" s="2">
        <v>9.9999000000000002</v>
      </c>
      <c r="G476" s="2">
        <v>0</v>
      </c>
      <c r="H476" s="2">
        <v>0</v>
      </c>
      <c r="I476" s="2">
        <v>0.09</v>
      </c>
      <c r="J476" s="2">
        <v>0</v>
      </c>
      <c r="K476" s="2">
        <v>0</v>
      </c>
      <c r="L476" s="4">
        <v>0.97</v>
      </c>
      <c r="M476" s="15"/>
    </row>
    <row r="477" spans="1:13" hidden="1" x14ac:dyDescent="0.25">
      <c r="A477" s="5">
        <v>45474</v>
      </c>
      <c r="B477" s="1" t="s">
        <v>30</v>
      </c>
      <c r="C477" s="1" t="s">
        <v>24</v>
      </c>
      <c r="D477" s="2">
        <v>2.2800000000000001E-2</v>
      </c>
      <c r="E477" s="3">
        <v>2.2000000000000002</v>
      </c>
      <c r="F477" s="2">
        <v>9.9999000000000002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4">
        <v>0.97</v>
      </c>
      <c r="M477" s="15"/>
    </row>
    <row r="478" spans="1:13" hidden="1" x14ac:dyDescent="0.25">
      <c r="A478" s="5">
        <v>45474</v>
      </c>
      <c r="B478" s="1" t="s">
        <v>30</v>
      </c>
      <c r="C478" s="1" t="s">
        <v>25</v>
      </c>
      <c r="D478" s="2">
        <v>4.9000000000000002E-2</v>
      </c>
      <c r="E478" s="3">
        <v>1</v>
      </c>
      <c r="F478" s="2">
        <v>9.5000000000000001E-2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4">
        <v>0.97</v>
      </c>
      <c r="M478" s="15"/>
    </row>
    <row r="479" spans="1:13" hidden="1" x14ac:dyDescent="0.25">
      <c r="A479" s="5">
        <v>45474</v>
      </c>
      <c r="B479" s="1" t="s">
        <v>28</v>
      </c>
      <c r="C479" s="1" t="s">
        <v>13</v>
      </c>
      <c r="D479" s="2">
        <v>4.65E-2</v>
      </c>
      <c r="E479" s="3">
        <v>1</v>
      </c>
      <c r="F479" s="2">
        <v>8.5000000000000006E-2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4">
        <v>0.97</v>
      </c>
      <c r="M479" s="15"/>
    </row>
    <row r="480" spans="1:13" hidden="1" x14ac:dyDescent="0.25">
      <c r="A480" s="5">
        <v>45474</v>
      </c>
      <c r="B480" s="1" t="s">
        <v>28</v>
      </c>
      <c r="C480" s="1" t="s">
        <v>16</v>
      </c>
      <c r="D480" s="2">
        <v>3.0200000000000001E-2</v>
      </c>
      <c r="E480" s="3">
        <v>1</v>
      </c>
      <c r="F480" s="2">
        <v>7.0000000000000007E-2</v>
      </c>
      <c r="G480" s="2">
        <v>1.4999999999999999E-2</v>
      </c>
      <c r="H480" s="2">
        <v>0</v>
      </c>
      <c r="I480" s="2">
        <v>0</v>
      </c>
      <c r="J480" s="2">
        <v>0</v>
      </c>
      <c r="K480" s="2">
        <v>0</v>
      </c>
      <c r="L480" s="4">
        <v>0.97</v>
      </c>
      <c r="M480" s="15"/>
    </row>
    <row r="481" spans="1:13" hidden="1" x14ac:dyDescent="0.25">
      <c r="A481" s="5">
        <v>45474</v>
      </c>
      <c r="B481" s="1" t="s">
        <v>28</v>
      </c>
      <c r="C481" s="1" t="s">
        <v>17</v>
      </c>
      <c r="D481" s="2">
        <v>3.6499999999999998E-2</v>
      </c>
      <c r="E481" s="3">
        <v>1</v>
      </c>
      <c r="F481" s="2">
        <v>9.9999000000000002</v>
      </c>
      <c r="G481" s="2">
        <v>0</v>
      </c>
      <c r="H481" s="2">
        <v>0</v>
      </c>
      <c r="I481" s="2">
        <v>7.7499999999999999E-2</v>
      </c>
      <c r="J481" s="2">
        <v>0</v>
      </c>
      <c r="K481" s="2">
        <v>0</v>
      </c>
      <c r="L481" s="4">
        <v>0.97</v>
      </c>
      <c r="M481" s="15"/>
    </row>
    <row r="482" spans="1:13" hidden="1" x14ac:dyDescent="0.25">
      <c r="A482" s="5">
        <v>45474</v>
      </c>
      <c r="B482" s="1" t="s">
        <v>28</v>
      </c>
      <c r="C482" s="1" t="s">
        <v>18</v>
      </c>
      <c r="D482" s="2">
        <v>4.7699999999999999E-2</v>
      </c>
      <c r="E482" s="3">
        <v>1</v>
      </c>
      <c r="F482" s="2">
        <v>9.9999000000000002</v>
      </c>
      <c r="G482" s="2">
        <v>0</v>
      </c>
      <c r="H482" s="2">
        <v>6.5000000000000002E-2</v>
      </c>
      <c r="I482" s="2">
        <v>0</v>
      </c>
      <c r="J482" s="2">
        <v>0</v>
      </c>
      <c r="K482" s="2">
        <v>0</v>
      </c>
      <c r="L482" s="4">
        <v>0.97</v>
      </c>
      <c r="M482" s="15"/>
    </row>
    <row r="483" spans="1:13" hidden="1" x14ac:dyDescent="0.25">
      <c r="A483" s="5">
        <v>45474</v>
      </c>
      <c r="B483" s="1" t="s">
        <v>29</v>
      </c>
      <c r="C483" s="1" t="s">
        <v>13</v>
      </c>
      <c r="D483" s="2">
        <v>4.3200000000000002E-2</v>
      </c>
      <c r="E483" s="3">
        <v>1</v>
      </c>
      <c r="F483" s="2">
        <v>7.7499999999999999E-2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4">
        <v>0.97</v>
      </c>
      <c r="M483" s="15"/>
    </row>
    <row r="484" spans="1:13" hidden="1" x14ac:dyDescent="0.25">
      <c r="A484" s="5">
        <v>45474</v>
      </c>
      <c r="B484" s="1" t="s">
        <v>29</v>
      </c>
      <c r="C484" s="1" t="s">
        <v>16</v>
      </c>
      <c r="D484" s="2">
        <v>2.4199999999999999E-2</v>
      </c>
      <c r="E484" s="3">
        <v>1</v>
      </c>
      <c r="F484" s="2">
        <v>5.7500000000000002E-2</v>
      </c>
      <c r="G484" s="2">
        <v>1.4999999999999999E-2</v>
      </c>
      <c r="H484" s="2">
        <v>0</v>
      </c>
      <c r="I484" s="2">
        <v>0</v>
      </c>
      <c r="J484" s="2">
        <v>0</v>
      </c>
      <c r="K484" s="2">
        <v>0</v>
      </c>
      <c r="L484" s="4">
        <v>0.97</v>
      </c>
      <c r="M484" s="15"/>
    </row>
    <row r="485" spans="1:13" hidden="1" x14ac:dyDescent="0.25">
      <c r="A485" s="5">
        <v>45474</v>
      </c>
      <c r="B485" s="1" t="s">
        <v>29</v>
      </c>
      <c r="C485" s="1" t="s">
        <v>17</v>
      </c>
      <c r="D485" s="2">
        <v>3.2399999999999998E-2</v>
      </c>
      <c r="E485" s="3">
        <v>1</v>
      </c>
      <c r="F485" s="2">
        <v>9.9999000000000002</v>
      </c>
      <c r="G485" s="2">
        <v>0</v>
      </c>
      <c r="H485" s="2">
        <v>0</v>
      </c>
      <c r="I485" s="2">
        <v>8.6999999999999994E-2</v>
      </c>
      <c r="J485" s="2">
        <v>0</v>
      </c>
      <c r="K485" s="2">
        <v>0</v>
      </c>
      <c r="L485" s="4">
        <v>0.97</v>
      </c>
      <c r="M485" s="15"/>
    </row>
    <row r="486" spans="1:13" hidden="1" x14ac:dyDescent="0.25">
      <c r="A486" s="5">
        <v>45474</v>
      </c>
      <c r="B486" s="1" t="s">
        <v>29</v>
      </c>
      <c r="C486" s="1" t="s">
        <v>18</v>
      </c>
      <c r="D486" s="2">
        <v>4.19E-2</v>
      </c>
      <c r="E486" s="3">
        <v>1</v>
      </c>
      <c r="F486" s="2">
        <v>9.9999000000000002</v>
      </c>
      <c r="G486" s="2">
        <v>0</v>
      </c>
      <c r="H486" s="2">
        <v>5.7000000000000002E-2</v>
      </c>
      <c r="I486" s="2">
        <v>0</v>
      </c>
      <c r="J486" s="2">
        <v>0</v>
      </c>
      <c r="K486" s="2">
        <v>0</v>
      </c>
      <c r="L486" s="4">
        <v>0.97</v>
      </c>
      <c r="M486" s="15"/>
    </row>
    <row r="487" spans="1:13" hidden="1" x14ac:dyDescent="0.25">
      <c r="A487" s="5">
        <v>45505</v>
      </c>
      <c r="B487" s="1" t="s">
        <v>12</v>
      </c>
      <c r="C487" s="1" t="s">
        <v>13</v>
      </c>
      <c r="D487" s="2">
        <v>5.0900000000000001E-2</v>
      </c>
      <c r="E487" s="3">
        <v>1</v>
      </c>
      <c r="F487" s="2">
        <v>9.7500000000000003E-2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4">
        <v>0.97</v>
      </c>
      <c r="M487" s="15"/>
    </row>
    <row r="488" spans="1:13" hidden="1" x14ac:dyDescent="0.25">
      <c r="A488" s="5">
        <v>45505</v>
      </c>
      <c r="B488" s="1" t="s">
        <v>15</v>
      </c>
      <c r="C488" s="1" t="s">
        <v>13</v>
      </c>
      <c r="D488" s="2">
        <v>5.0900000000000001E-2</v>
      </c>
      <c r="E488" s="3">
        <v>1</v>
      </c>
      <c r="F488" s="2">
        <v>9.7500000000000003E-2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4">
        <v>0.97</v>
      </c>
      <c r="M488" s="15"/>
    </row>
    <row r="489" spans="1:13" hidden="1" x14ac:dyDescent="0.25">
      <c r="A489" s="5">
        <v>45505</v>
      </c>
      <c r="B489" s="1" t="s">
        <v>15</v>
      </c>
      <c r="C489" s="1" t="s">
        <v>16</v>
      </c>
      <c r="D489" s="2">
        <v>3.6400000000000002E-2</v>
      </c>
      <c r="E489" s="3">
        <v>1</v>
      </c>
      <c r="F489" s="2">
        <v>8.5000000000000006E-2</v>
      </c>
      <c r="G489" s="2">
        <v>1.4999999999999999E-2</v>
      </c>
      <c r="H489" s="2">
        <v>0</v>
      </c>
      <c r="I489" s="2">
        <v>0</v>
      </c>
      <c r="J489" s="2">
        <v>0</v>
      </c>
      <c r="K489" s="2">
        <v>0</v>
      </c>
      <c r="L489" s="4">
        <v>0.97</v>
      </c>
      <c r="M489" s="15"/>
    </row>
    <row r="490" spans="1:13" hidden="1" x14ac:dyDescent="0.25">
      <c r="A490" s="5">
        <v>45505</v>
      </c>
      <c r="B490" s="1" t="s">
        <v>15</v>
      </c>
      <c r="C490" s="1" t="s">
        <v>17</v>
      </c>
      <c r="D490" s="2">
        <v>3.44E-2</v>
      </c>
      <c r="E490" s="3">
        <v>1</v>
      </c>
      <c r="F490" s="2">
        <v>9.9999000000000002</v>
      </c>
      <c r="G490" s="2">
        <v>0</v>
      </c>
      <c r="H490" s="2">
        <v>0</v>
      </c>
      <c r="I490" s="2">
        <v>0.08</v>
      </c>
      <c r="J490" s="2">
        <v>0</v>
      </c>
      <c r="K490" s="2">
        <v>0</v>
      </c>
      <c r="L490" s="4">
        <v>0.97</v>
      </c>
      <c r="M490" s="15"/>
    </row>
    <row r="491" spans="1:13" hidden="1" x14ac:dyDescent="0.25">
      <c r="A491" s="5">
        <v>45505</v>
      </c>
      <c r="B491" s="1" t="s">
        <v>15</v>
      </c>
      <c r="C491" s="1" t="s">
        <v>18</v>
      </c>
      <c r="D491" s="2">
        <v>5.4899999999999997E-2</v>
      </c>
      <c r="E491" s="3">
        <v>1</v>
      </c>
      <c r="F491" s="2">
        <v>9.9999000000000002</v>
      </c>
      <c r="G491" s="2">
        <v>0</v>
      </c>
      <c r="H491" s="2">
        <v>7.4999999999999997E-2</v>
      </c>
      <c r="I491" s="2">
        <v>0</v>
      </c>
      <c r="J491" s="2">
        <v>0</v>
      </c>
      <c r="K491" s="2">
        <v>0</v>
      </c>
      <c r="L491" s="4">
        <v>0.97</v>
      </c>
      <c r="M491" s="15"/>
    </row>
    <row r="492" spans="1:13" hidden="1" x14ac:dyDescent="0.25">
      <c r="A492" s="5">
        <v>45505</v>
      </c>
      <c r="B492" s="1" t="s">
        <v>19</v>
      </c>
      <c r="C492" s="1" t="s">
        <v>13</v>
      </c>
      <c r="D492" s="2">
        <v>4.0500000000000001E-2</v>
      </c>
      <c r="E492" s="3">
        <v>1</v>
      </c>
      <c r="F492" s="2">
        <v>7.2499999999999995E-2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4">
        <v>0.97</v>
      </c>
      <c r="M492" s="15"/>
    </row>
    <row r="493" spans="1:13" hidden="1" x14ac:dyDescent="0.25">
      <c r="A493" s="5">
        <v>45505</v>
      </c>
      <c r="B493" s="1" t="s">
        <v>19</v>
      </c>
      <c r="C493" s="1" t="s">
        <v>16</v>
      </c>
      <c r="D493" s="2">
        <v>3.4299999999999997E-2</v>
      </c>
      <c r="E493" s="3">
        <v>1</v>
      </c>
      <c r="F493" s="2">
        <v>0.06</v>
      </c>
      <c r="G493" s="2">
        <v>1.4999999999999999E-2</v>
      </c>
      <c r="H493" s="2">
        <v>0</v>
      </c>
      <c r="I493" s="2">
        <v>0</v>
      </c>
      <c r="J493" s="2">
        <v>0</v>
      </c>
      <c r="K493" s="2">
        <v>0</v>
      </c>
      <c r="L493" s="4">
        <v>0.97</v>
      </c>
      <c r="M493" s="15"/>
    </row>
    <row r="494" spans="1:13" hidden="1" x14ac:dyDescent="0.25">
      <c r="A494" s="5">
        <v>45505</v>
      </c>
      <c r="B494" s="1" t="s">
        <v>19</v>
      </c>
      <c r="C494" s="1" t="s">
        <v>17</v>
      </c>
      <c r="D494" s="2">
        <v>3.0300000000000001E-2</v>
      </c>
      <c r="E494" s="3">
        <v>1</v>
      </c>
      <c r="F494" s="2">
        <v>9.9999000000000002</v>
      </c>
      <c r="G494" s="2">
        <v>0</v>
      </c>
      <c r="H494" s="2">
        <v>0</v>
      </c>
      <c r="I494" s="2">
        <v>0.09</v>
      </c>
      <c r="J494" s="2">
        <v>0</v>
      </c>
      <c r="K494" s="2">
        <v>0</v>
      </c>
      <c r="L494" s="4">
        <v>0.97</v>
      </c>
      <c r="M494" s="15"/>
    </row>
    <row r="495" spans="1:13" hidden="1" x14ac:dyDescent="0.25">
      <c r="A495" s="5">
        <v>45505</v>
      </c>
      <c r="B495" s="1" t="s">
        <v>19</v>
      </c>
      <c r="C495" s="1" t="s">
        <v>18</v>
      </c>
      <c r="D495" s="2">
        <v>4.3900000000000002E-2</v>
      </c>
      <c r="E495" s="3">
        <v>1</v>
      </c>
      <c r="F495" s="2">
        <v>9.9999000000000002</v>
      </c>
      <c r="G495" s="2">
        <v>0</v>
      </c>
      <c r="H495" s="2">
        <v>0.06</v>
      </c>
      <c r="I495" s="2">
        <v>0</v>
      </c>
      <c r="J495" s="2">
        <v>0</v>
      </c>
      <c r="K495" s="2">
        <v>0</v>
      </c>
      <c r="L495" s="4">
        <v>0.97</v>
      </c>
      <c r="M495" s="15"/>
    </row>
    <row r="496" spans="1:13" hidden="1" x14ac:dyDescent="0.25">
      <c r="A496" s="5">
        <v>45505</v>
      </c>
      <c r="B496" s="1" t="s">
        <v>20</v>
      </c>
      <c r="C496" s="1" t="s">
        <v>13</v>
      </c>
      <c r="D496" s="2">
        <v>5.0900000000000001E-2</v>
      </c>
      <c r="E496" s="3">
        <v>1</v>
      </c>
      <c r="F496" s="2">
        <v>9.7500000000000003E-2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4">
        <v>0.97</v>
      </c>
      <c r="M496" s="15"/>
    </row>
    <row r="497" spans="1:13" hidden="1" x14ac:dyDescent="0.25">
      <c r="A497" s="5">
        <v>45505</v>
      </c>
      <c r="B497" s="1" t="s">
        <v>20</v>
      </c>
      <c r="C497" s="1" t="s">
        <v>17</v>
      </c>
      <c r="D497" s="2">
        <v>3.44E-2</v>
      </c>
      <c r="E497" s="3">
        <v>1</v>
      </c>
      <c r="F497" s="2">
        <v>9.9999000000000002</v>
      </c>
      <c r="G497" s="2">
        <v>0</v>
      </c>
      <c r="H497" s="2">
        <v>0</v>
      </c>
      <c r="I497" s="2">
        <v>0.08</v>
      </c>
      <c r="J497" s="2">
        <v>0</v>
      </c>
      <c r="K497" s="2">
        <v>0</v>
      </c>
      <c r="L497" s="4">
        <v>0.97</v>
      </c>
      <c r="M497" s="15"/>
    </row>
    <row r="498" spans="1:13" hidden="1" x14ac:dyDescent="0.25">
      <c r="A498" s="5">
        <v>45505</v>
      </c>
      <c r="B498" s="1" t="s">
        <v>20</v>
      </c>
      <c r="C498" s="1" t="s">
        <v>21</v>
      </c>
      <c r="D498" s="2">
        <v>5.8099999999999999E-2</v>
      </c>
      <c r="E498" s="3">
        <v>1</v>
      </c>
      <c r="F498" s="2">
        <v>0.12</v>
      </c>
      <c r="G498" s="2">
        <v>0</v>
      </c>
      <c r="H498" s="2">
        <v>0</v>
      </c>
      <c r="I498" s="2">
        <v>0</v>
      </c>
      <c r="J498" s="2">
        <v>4.1500000000000002E-2</v>
      </c>
      <c r="K498" s="2">
        <v>0.6</v>
      </c>
      <c r="L498" s="4">
        <v>0.97</v>
      </c>
      <c r="M498" s="15"/>
    </row>
    <row r="499" spans="1:13" hidden="1" x14ac:dyDescent="0.25">
      <c r="A499" s="5">
        <v>45505</v>
      </c>
      <c r="B499" s="1" t="s">
        <v>20</v>
      </c>
      <c r="C499" s="1" t="s">
        <v>22</v>
      </c>
      <c r="D499" s="2">
        <v>5.8099999999999999E-2</v>
      </c>
      <c r="E499" s="3">
        <v>1</v>
      </c>
      <c r="F499" s="2">
        <v>0.12</v>
      </c>
      <c r="G499" s="2">
        <v>0</v>
      </c>
      <c r="H499" s="2">
        <v>0</v>
      </c>
      <c r="I499" s="2">
        <v>0</v>
      </c>
      <c r="J499" s="2">
        <v>2.1499999999999998E-2</v>
      </c>
      <c r="K499" s="2">
        <v>0.24</v>
      </c>
      <c r="L499" s="4">
        <v>0.97</v>
      </c>
      <c r="M499" s="15"/>
    </row>
    <row r="500" spans="1:13" hidden="1" x14ac:dyDescent="0.25">
      <c r="A500" s="5">
        <v>45505</v>
      </c>
      <c r="B500" s="1" t="s">
        <v>23</v>
      </c>
      <c r="C500" s="1" t="s">
        <v>24</v>
      </c>
      <c r="D500" s="2">
        <v>2.29E-2</v>
      </c>
      <c r="E500" s="3">
        <v>2.4</v>
      </c>
      <c r="F500" s="2">
        <v>9.9999000000000002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4">
        <v>0.97</v>
      </c>
      <c r="M500" s="15"/>
    </row>
    <row r="501" spans="1:13" hidden="1" x14ac:dyDescent="0.25">
      <c r="A501" s="5">
        <v>45505</v>
      </c>
      <c r="B501" s="1" t="s">
        <v>23</v>
      </c>
      <c r="C501" s="1" t="s">
        <v>25</v>
      </c>
      <c r="D501" s="2">
        <v>5.11E-2</v>
      </c>
      <c r="E501" s="3">
        <v>1</v>
      </c>
      <c r="F501" s="2">
        <v>0.10249999999999999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4">
        <v>0.97</v>
      </c>
      <c r="M501" s="15"/>
    </row>
    <row r="502" spans="1:13" hidden="1" x14ac:dyDescent="0.25">
      <c r="A502" s="5">
        <v>45505</v>
      </c>
      <c r="B502" s="1" t="s">
        <v>23</v>
      </c>
      <c r="C502" s="1" t="s">
        <v>13</v>
      </c>
      <c r="D502" s="2">
        <v>5.2699999999999997E-2</v>
      </c>
      <c r="E502" s="3">
        <v>1</v>
      </c>
      <c r="F502" s="2">
        <v>0.10249999999999999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4">
        <v>0.97</v>
      </c>
      <c r="M502" s="15"/>
    </row>
    <row r="503" spans="1:13" hidden="1" x14ac:dyDescent="0.25">
      <c r="A503" s="5">
        <v>45505</v>
      </c>
      <c r="B503" s="1" t="s">
        <v>23</v>
      </c>
      <c r="C503" s="1" t="s">
        <v>17</v>
      </c>
      <c r="D503" s="2">
        <v>3.44E-2</v>
      </c>
      <c r="E503" s="3">
        <v>1</v>
      </c>
      <c r="F503" s="2">
        <v>9.9999000000000002</v>
      </c>
      <c r="G503" s="2">
        <v>0</v>
      </c>
      <c r="H503" s="2">
        <v>0</v>
      </c>
      <c r="I503" s="2">
        <v>0.08</v>
      </c>
      <c r="J503" s="2">
        <v>0</v>
      </c>
      <c r="K503" s="2">
        <v>0</v>
      </c>
      <c r="L503" s="4">
        <v>0.97</v>
      </c>
      <c r="M503" s="15"/>
    </row>
    <row r="504" spans="1:13" hidden="1" x14ac:dyDescent="0.25">
      <c r="A504" s="5">
        <v>45505</v>
      </c>
      <c r="B504" s="1" t="s">
        <v>23</v>
      </c>
      <c r="C504" s="1" t="s">
        <v>21</v>
      </c>
      <c r="D504" s="2">
        <v>5.8099999999999999E-2</v>
      </c>
      <c r="E504" s="3">
        <v>1</v>
      </c>
      <c r="F504" s="2">
        <v>0.12</v>
      </c>
      <c r="G504" s="2">
        <v>0</v>
      </c>
      <c r="H504" s="2">
        <v>0</v>
      </c>
      <c r="I504" s="2">
        <v>0</v>
      </c>
      <c r="J504" s="2">
        <v>4.1500000000000002E-2</v>
      </c>
      <c r="K504" s="2">
        <v>0.6</v>
      </c>
      <c r="L504" s="4">
        <v>0.97</v>
      </c>
      <c r="M504" s="15"/>
    </row>
    <row r="505" spans="1:13" hidden="1" x14ac:dyDescent="0.25">
      <c r="A505" s="5">
        <v>45505</v>
      </c>
      <c r="B505" s="1" t="s">
        <v>23</v>
      </c>
      <c r="C505" s="1" t="s">
        <v>22</v>
      </c>
      <c r="D505" s="2">
        <v>5.8099999999999999E-2</v>
      </c>
      <c r="E505" s="3">
        <v>1</v>
      </c>
      <c r="F505" s="2">
        <v>0.12</v>
      </c>
      <c r="G505" s="2">
        <v>0</v>
      </c>
      <c r="H505" s="2">
        <v>0</v>
      </c>
      <c r="I505" s="2">
        <v>0</v>
      </c>
      <c r="J505" s="2">
        <v>2.1499999999999998E-2</v>
      </c>
      <c r="K505" s="2">
        <v>0.24</v>
      </c>
      <c r="L505" s="4">
        <v>0.97</v>
      </c>
      <c r="M505" s="15"/>
    </row>
    <row r="506" spans="1:13" hidden="1" x14ac:dyDescent="0.25">
      <c r="A506" s="5">
        <v>45505</v>
      </c>
      <c r="B506" s="1" t="s">
        <v>26</v>
      </c>
      <c r="C506" s="1" t="s">
        <v>24</v>
      </c>
      <c r="D506" s="2">
        <v>2.29E-2</v>
      </c>
      <c r="E506" s="3">
        <v>2.4</v>
      </c>
      <c r="F506" s="2">
        <v>9.9999000000000002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4">
        <v>0.97</v>
      </c>
      <c r="M506" s="15"/>
    </row>
    <row r="507" spans="1:13" hidden="1" x14ac:dyDescent="0.25">
      <c r="A507" s="5">
        <v>45505</v>
      </c>
      <c r="B507" s="1" t="s">
        <v>26</v>
      </c>
      <c r="C507" s="1" t="s">
        <v>25</v>
      </c>
      <c r="D507" s="2">
        <v>5.0200000000000002E-2</v>
      </c>
      <c r="E507" s="3">
        <v>1</v>
      </c>
      <c r="F507" s="2">
        <v>0.1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4">
        <v>0.97</v>
      </c>
      <c r="M507" s="15"/>
    </row>
    <row r="508" spans="1:13" hidden="1" x14ac:dyDescent="0.25">
      <c r="A508" s="5">
        <v>45505</v>
      </c>
      <c r="B508" s="1" t="s">
        <v>26</v>
      </c>
      <c r="C508" s="1" t="s">
        <v>13</v>
      </c>
      <c r="D508" s="2">
        <v>5.1799999999999999E-2</v>
      </c>
      <c r="E508" s="3">
        <v>1</v>
      </c>
      <c r="F508" s="2">
        <v>0.1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4">
        <v>0.97</v>
      </c>
      <c r="M508" s="15"/>
    </row>
    <row r="509" spans="1:13" hidden="1" x14ac:dyDescent="0.25">
      <c r="A509" s="5">
        <v>45505</v>
      </c>
      <c r="B509" s="1" t="s">
        <v>26</v>
      </c>
      <c r="C509" s="1" t="s">
        <v>17</v>
      </c>
      <c r="D509" s="2">
        <v>3.44E-2</v>
      </c>
      <c r="E509" s="3">
        <v>1</v>
      </c>
      <c r="F509" s="2">
        <v>9.9999000000000002</v>
      </c>
      <c r="G509" s="2">
        <v>0</v>
      </c>
      <c r="H509" s="2">
        <v>0</v>
      </c>
      <c r="I509" s="2">
        <v>0.08</v>
      </c>
      <c r="J509" s="2">
        <v>0</v>
      </c>
      <c r="K509" s="2">
        <v>0</v>
      </c>
      <c r="L509" s="4">
        <v>0.97</v>
      </c>
      <c r="M509" s="15"/>
    </row>
    <row r="510" spans="1:13" hidden="1" x14ac:dyDescent="0.25">
      <c r="A510" s="5">
        <v>45505</v>
      </c>
      <c r="B510" s="1" t="s">
        <v>26</v>
      </c>
      <c r="C510" s="1" t="s">
        <v>21</v>
      </c>
      <c r="D510" s="2">
        <v>5.8099999999999999E-2</v>
      </c>
      <c r="E510" s="3">
        <v>1</v>
      </c>
      <c r="F510" s="2">
        <v>0.12</v>
      </c>
      <c r="G510" s="2">
        <v>0</v>
      </c>
      <c r="H510" s="2">
        <v>0</v>
      </c>
      <c r="I510" s="2">
        <v>0</v>
      </c>
      <c r="J510" s="2">
        <v>4.1500000000000002E-2</v>
      </c>
      <c r="K510" s="2">
        <v>0.6</v>
      </c>
      <c r="L510" s="4">
        <v>0.97</v>
      </c>
      <c r="M510" s="15"/>
    </row>
    <row r="511" spans="1:13" hidden="1" x14ac:dyDescent="0.25">
      <c r="A511" s="5">
        <v>45505</v>
      </c>
      <c r="B511" s="1" t="s">
        <v>26</v>
      </c>
      <c r="C511" s="1" t="s">
        <v>22</v>
      </c>
      <c r="D511" s="2">
        <v>5.8099999999999999E-2</v>
      </c>
      <c r="E511" s="3">
        <v>1</v>
      </c>
      <c r="F511" s="2">
        <v>0.12</v>
      </c>
      <c r="G511" s="2">
        <v>0</v>
      </c>
      <c r="H511" s="2">
        <v>0</v>
      </c>
      <c r="I511" s="2">
        <v>0</v>
      </c>
      <c r="J511" s="2">
        <v>2.1499999999999998E-2</v>
      </c>
      <c r="K511" s="2">
        <v>0.24</v>
      </c>
      <c r="L511" s="4">
        <v>0.97</v>
      </c>
      <c r="M511" s="15"/>
    </row>
    <row r="512" spans="1:13" hidden="1" x14ac:dyDescent="0.25">
      <c r="A512" s="5">
        <v>45505</v>
      </c>
      <c r="B512" s="1" t="s">
        <v>27</v>
      </c>
      <c r="C512" s="1" t="s">
        <v>13</v>
      </c>
      <c r="D512" s="2">
        <v>4.9000000000000002E-2</v>
      </c>
      <c r="E512" s="3">
        <v>1</v>
      </c>
      <c r="F512" s="2">
        <v>9.2499999999999999E-2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4">
        <v>0.97</v>
      </c>
      <c r="M512" s="15"/>
    </row>
    <row r="513" spans="1:13" hidden="1" x14ac:dyDescent="0.25">
      <c r="A513" s="5">
        <v>45505</v>
      </c>
      <c r="B513" s="1" t="s">
        <v>27</v>
      </c>
      <c r="C513" s="1" t="s">
        <v>17</v>
      </c>
      <c r="D513" s="2">
        <v>3.0300000000000001E-2</v>
      </c>
      <c r="E513" s="3">
        <v>1</v>
      </c>
      <c r="F513" s="2">
        <v>9.9999000000000002</v>
      </c>
      <c r="G513" s="2">
        <v>0</v>
      </c>
      <c r="H513" s="2">
        <v>0</v>
      </c>
      <c r="I513" s="2">
        <v>0.09</v>
      </c>
      <c r="J513" s="2">
        <v>0</v>
      </c>
      <c r="K513" s="2">
        <v>0</v>
      </c>
      <c r="L513" s="4">
        <v>0.97</v>
      </c>
      <c r="M513" s="15"/>
    </row>
    <row r="514" spans="1:13" hidden="1" x14ac:dyDescent="0.25">
      <c r="A514" s="5">
        <v>45505</v>
      </c>
      <c r="B514" s="1" t="s">
        <v>27</v>
      </c>
      <c r="C514" s="1" t="s">
        <v>24</v>
      </c>
      <c r="D514" s="2">
        <v>5.5199999999999999E-2</v>
      </c>
      <c r="E514" s="3">
        <v>2.2000000000000002</v>
      </c>
      <c r="F514" s="2">
        <v>9.9999000000000002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4">
        <v>0.97</v>
      </c>
      <c r="M514" s="15"/>
    </row>
    <row r="515" spans="1:13" hidden="1" x14ac:dyDescent="0.25">
      <c r="A515" s="5">
        <v>45505</v>
      </c>
      <c r="B515" s="1" t="s">
        <v>27</v>
      </c>
      <c r="C515" s="1" t="s">
        <v>25</v>
      </c>
      <c r="D515" s="2">
        <v>4.7100000000000003E-2</v>
      </c>
      <c r="E515" s="3">
        <v>1</v>
      </c>
      <c r="F515" s="2">
        <v>9.2499999999999999E-2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4">
        <v>0.97</v>
      </c>
      <c r="M515" s="15"/>
    </row>
    <row r="516" spans="1:13" hidden="1" x14ac:dyDescent="0.25">
      <c r="A516" s="5">
        <v>45505</v>
      </c>
      <c r="B516" s="1" t="s">
        <v>30</v>
      </c>
      <c r="C516" s="1" t="s">
        <v>13</v>
      </c>
      <c r="D516" s="2">
        <v>4.99E-2</v>
      </c>
      <c r="E516" s="3">
        <v>1</v>
      </c>
      <c r="F516" s="2">
        <v>9.5000000000000001E-2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4">
        <v>0.97</v>
      </c>
      <c r="M516" s="15"/>
    </row>
    <row r="517" spans="1:13" hidden="1" x14ac:dyDescent="0.25">
      <c r="A517" s="5">
        <v>45505</v>
      </c>
      <c r="B517" s="1" t="s">
        <v>30</v>
      </c>
      <c r="C517" s="1" t="s">
        <v>17</v>
      </c>
      <c r="D517" s="2">
        <v>3.0300000000000001E-2</v>
      </c>
      <c r="E517" s="3">
        <v>1</v>
      </c>
      <c r="F517" s="2">
        <v>9.9999000000000002</v>
      </c>
      <c r="G517" s="2">
        <v>0</v>
      </c>
      <c r="H517" s="2">
        <v>0</v>
      </c>
      <c r="I517" s="2">
        <v>0.09</v>
      </c>
      <c r="J517" s="2">
        <v>0</v>
      </c>
      <c r="K517" s="2">
        <v>0</v>
      </c>
      <c r="L517" s="4">
        <v>0.97</v>
      </c>
      <c r="M517" s="15"/>
    </row>
    <row r="518" spans="1:13" hidden="1" x14ac:dyDescent="0.25">
      <c r="A518" s="5">
        <v>45505</v>
      </c>
      <c r="B518" s="1" t="s">
        <v>30</v>
      </c>
      <c r="C518" s="1" t="s">
        <v>24</v>
      </c>
      <c r="D518" s="2">
        <v>2.29E-2</v>
      </c>
      <c r="E518" s="3">
        <v>2.2000000000000002</v>
      </c>
      <c r="F518" s="2">
        <v>9.9999000000000002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4">
        <v>0.97</v>
      </c>
      <c r="M518" s="15"/>
    </row>
    <row r="519" spans="1:13" hidden="1" x14ac:dyDescent="0.25">
      <c r="A519" s="5">
        <v>45505</v>
      </c>
      <c r="B519" s="1" t="s">
        <v>30</v>
      </c>
      <c r="C519" s="1" t="s">
        <v>25</v>
      </c>
      <c r="D519" s="2">
        <v>4.82E-2</v>
      </c>
      <c r="E519" s="3">
        <v>1</v>
      </c>
      <c r="F519" s="2">
        <v>9.5000000000000001E-2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4">
        <v>0.97</v>
      </c>
      <c r="M519" s="15"/>
    </row>
    <row r="520" spans="1:13" hidden="1" x14ac:dyDescent="0.25">
      <c r="A520" s="5">
        <v>45505</v>
      </c>
      <c r="B520" s="1" t="s">
        <v>28</v>
      </c>
      <c r="C520" s="1" t="s">
        <v>13</v>
      </c>
      <c r="D520" s="2">
        <v>4.5900000000000003E-2</v>
      </c>
      <c r="E520" s="3">
        <v>1</v>
      </c>
      <c r="F520" s="2">
        <v>8.5000000000000006E-2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4">
        <v>0.97</v>
      </c>
      <c r="M520" s="15"/>
    </row>
    <row r="521" spans="1:13" hidden="1" x14ac:dyDescent="0.25">
      <c r="A521" s="5">
        <v>45505</v>
      </c>
      <c r="B521" s="1" t="s">
        <v>28</v>
      </c>
      <c r="C521" s="1" t="s">
        <v>16</v>
      </c>
      <c r="D521" s="2">
        <v>2.9899999999999999E-2</v>
      </c>
      <c r="E521" s="3">
        <v>1</v>
      </c>
      <c r="F521" s="2">
        <v>7.0000000000000007E-2</v>
      </c>
      <c r="G521" s="2">
        <v>1.4999999999999999E-2</v>
      </c>
      <c r="H521" s="2">
        <v>0</v>
      </c>
      <c r="I521" s="2">
        <v>0</v>
      </c>
      <c r="J521" s="2">
        <v>0</v>
      </c>
      <c r="K521" s="2">
        <v>0</v>
      </c>
      <c r="L521" s="4">
        <v>0.97</v>
      </c>
      <c r="M521" s="15"/>
    </row>
    <row r="522" spans="1:13" hidden="1" x14ac:dyDescent="0.25">
      <c r="A522" s="5">
        <v>45505</v>
      </c>
      <c r="B522" s="1" t="s">
        <v>28</v>
      </c>
      <c r="C522" s="1" t="s">
        <v>17</v>
      </c>
      <c r="D522" s="2">
        <v>3.5499999999999997E-2</v>
      </c>
      <c r="E522" s="3">
        <v>1</v>
      </c>
      <c r="F522" s="2">
        <v>9.9999000000000002</v>
      </c>
      <c r="G522" s="2">
        <v>0</v>
      </c>
      <c r="H522" s="2">
        <v>0</v>
      </c>
      <c r="I522" s="2">
        <v>7.7499999999999999E-2</v>
      </c>
      <c r="J522" s="2">
        <v>0</v>
      </c>
      <c r="K522" s="2">
        <v>0</v>
      </c>
      <c r="L522" s="4">
        <v>0.97</v>
      </c>
      <c r="M522" s="15"/>
    </row>
    <row r="523" spans="1:13" hidden="1" x14ac:dyDescent="0.25">
      <c r="A523" s="5">
        <v>45505</v>
      </c>
      <c r="B523" s="1" t="s">
        <v>28</v>
      </c>
      <c r="C523" s="1" t="s">
        <v>18</v>
      </c>
      <c r="D523" s="2">
        <v>4.7500000000000001E-2</v>
      </c>
      <c r="E523" s="3">
        <v>1</v>
      </c>
      <c r="F523" s="2">
        <v>9.9999000000000002</v>
      </c>
      <c r="G523" s="2">
        <v>0</v>
      </c>
      <c r="H523" s="2">
        <v>6.5000000000000002E-2</v>
      </c>
      <c r="I523" s="2">
        <v>0</v>
      </c>
      <c r="J523" s="2">
        <v>0</v>
      </c>
      <c r="K523" s="2">
        <v>0</v>
      </c>
      <c r="L523" s="4">
        <v>0.97</v>
      </c>
      <c r="M523" s="15"/>
    </row>
    <row r="524" spans="1:13" hidden="1" x14ac:dyDescent="0.25">
      <c r="A524" s="5">
        <v>45505</v>
      </c>
      <c r="B524" s="1" t="s">
        <v>29</v>
      </c>
      <c r="C524" s="1" t="s">
        <v>13</v>
      </c>
      <c r="D524" s="2">
        <v>4.2700000000000002E-2</v>
      </c>
      <c r="E524" s="3">
        <v>1</v>
      </c>
      <c r="F524" s="2">
        <v>7.7499999999999999E-2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4">
        <v>0.97</v>
      </c>
      <c r="M524" s="15"/>
    </row>
    <row r="525" spans="1:13" hidden="1" x14ac:dyDescent="0.25">
      <c r="A525" s="5">
        <v>45505</v>
      </c>
      <c r="B525" s="1" t="s">
        <v>29</v>
      </c>
      <c r="C525" s="1" t="s">
        <v>16</v>
      </c>
      <c r="D525" s="2">
        <v>2.3900000000000001E-2</v>
      </c>
      <c r="E525" s="3">
        <v>1</v>
      </c>
      <c r="F525" s="2">
        <v>5.7500000000000002E-2</v>
      </c>
      <c r="G525" s="2">
        <v>1.4999999999999999E-2</v>
      </c>
      <c r="H525" s="2">
        <v>0</v>
      </c>
      <c r="I525" s="2">
        <v>0</v>
      </c>
      <c r="J525" s="2">
        <v>0</v>
      </c>
      <c r="K525" s="2">
        <v>0</v>
      </c>
      <c r="L525" s="4">
        <v>0.97</v>
      </c>
      <c r="M525" s="15"/>
    </row>
    <row r="526" spans="1:13" hidden="1" x14ac:dyDescent="0.25">
      <c r="A526" s="5">
        <v>45505</v>
      </c>
      <c r="B526" s="1" t="s">
        <v>29</v>
      </c>
      <c r="C526" s="1" t="s">
        <v>17</v>
      </c>
      <c r="D526" s="2">
        <v>3.15E-2</v>
      </c>
      <c r="E526" s="3">
        <v>1</v>
      </c>
      <c r="F526" s="2">
        <v>9.9999000000000002</v>
      </c>
      <c r="G526" s="2">
        <v>0</v>
      </c>
      <c r="H526" s="2">
        <v>0</v>
      </c>
      <c r="I526" s="2">
        <v>8.6999999999999994E-2</v>
      </c>
      <c r="J526" s="2">
        <v>0</v>
      </c>
      <c r="K526" s="2">
        <v>0</v>
      </c>
      <c r="L526" s="4">
        <v>0.97</v>
      </c>
      <c r="M526" s="15"/>
    </row>
    <row r="527" spans="1:13" hidden="1" x14ac:dyDescent="0.25">
      <c r="A527" s="5">
        <v>45505</v>
      </c>
      <c r="B527" s="1" t="s">
        <v>29</v>
      </c>
      <c r="C527" s="1" t="s">
        <v>18</v>
      </c>
      <c r="D527" s="2">
        <v>4.1700000000000001E-2</v>
      </c>
      <c r="E527" s="3">
        <v>1</v>
      </c>
      <c r="F527" s="2">
        <v>9.9999000000000002</v>
      </c>
      <c r="G527" s="2">
        <v>0</v>
      </c>
      <c r="H527" s="2">
        <v>5.7000000000000002E-2</v>
      </c>
      <c r="I527" s="2">
        <v>0</v>
      </c>
      <c r="J527" s="2">
        <v>0</v>
      </c>
      <c r="K527" s="2">
        <v>0</v>
      </c>
      <c r="L527" s="4">
        <v>0.97</v>
      </c>
      <c r="M527" s="15"/>
    </row>
    <row r="528" spans="1:13" hidden="1" x14ac:dyDescent="0.25">
      <c r="A528" s="5">
        <v>45538</v>
      </c>
      <c r="B528" s="1" t="s">
        <v>12</v>
      </c>
      <c r="C528" s="1" t="s">
        <v>13</v>
      </c>
      <c r="D528" s="2">
        <v>5.1799999999999999E-2</v>
      </c>
      <c r="E528" s="3">
        <v>1</v>
      </c>
      <c r="F528" s="2">
        <v>9.7500000000000003E-2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4">
        <v>0.95</v>
      </c>
      <c r="M528" s="15"/>
    </row>
    <row r="529" spans="1:13" hidden="1" x14ac:dyDescent="0.25">
      <c r="A529" s="5">
        <v>45538</v>
      </c>
      <c r="B529" s="1" t="s">
        <v>15</v>
      </c>
      <c r="C529" s="1" t="s">
        <v>13</v>
      </c>
      <c r="D529" s="2">
        <v>5.1799999999999999E-2</v>
      </c>
      <c r="E529" s="3">
        <v>1</v>
      </c>
      <c r="F529" s="2">
        <v>9.7500000000000003E-2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4">
        <v>0.95</v>
      </c>
      <c r="M529" s="15"/>
    </row>
    <row r="530" spans="1:13" hidden="1" x14ac:dyDescent="0.25">
      <c r="A530" s="5">
        <v>45538</v>
      </c>
      <c r="B530" s="1" t="s">
        <v>15</v>
      </c>
      <c r="C530" s="1" t="s">
        <v>16</v>
      </c>
      <c r="D530" s="2">
        <v>3.7100000000000001E-2</v>
      </c>
      <c r="E530" s="3">
        <v>1</v>
      </c>
      <c r="F530" s="2">
        <v>8.5000000000000006E-2</v>
      </c>
      <c r="G530" s="2">
        <v>1.4999999999999999E-2</v>
      </c>
      <c r="H530" s="2">
        <v>0</v>
      </c>
      <c r="I530" s="2">
        <v>0</v>
      </c>
      <c r="J530" s="2">
        <v>0</v>
      </c>
      <c r="K530" s="2">
        <v>0</v>
      </c>
      <c r="L530" s="4">
        <v>0.95</v>
      </c>
      <c r="M530" s="15"/>
    </row>
    <row r="531" spans="1:13" hidden="1" x14ac:dyDescent="0.25">
      <c r="A531" s="5">
        <v>45538</v>
      </c>
      <c r="B531" s="1" t="s">
        <v>15</v>
      </c>
      <c r="C531" s="1" t="s">
        <v>17</v>
      </c>
      <c r="D531" s="2">
        <v>3.4000000000000002E-2</v>
      </c>
      <c r="E531" s="3">
        <v>1</v>
      </c>
      <c r="F531" s="2">
        <v>9.9999000000000002</v>
      </c>
      <c r="G531" s="2">
        <v>0</v>
      </c>
      <c r="H531" s="2">
        <v>0</v>
      </c>
      <c r="I531" s="2">
        <v>0.08</v>
      </c>
      <c r="J531" s="2">
        <v>0</v>
      </c>
      <c r="K531" s="2">
        <v>0</v>
      </c>
      <c r="L531" s="4">
        <v>0.95</v>
      </c>
      <c r="M531" s="15"/>
    </row>
    <row r="532" spans="1:13" hidden="1" x14ac:dyDescent="0.25">
      <c r="A532" s="5">
        <v>45538</v>
      </c>
      <c r="B532" s="1" t="s">
        <v>15</v>
      </c>
      <c r="C532" s="1" t="s">
        <v>18</v>
      </c>
      <c r="D532" s="2">
        <v>5.33E-2</v>
      </c>
      <c r="E532" s="3">
        <v>1</v>
      </c>
      <c r="F532" s="2">
        <v>9.9999000000000002</v>
      </c>
      <c r="G532" s="2">
        <v>0</v>
      </c>
      <c r="H532" s="2">
        <v>7.4999999999999997E-2</v>
      </c>
      <c r="I532" s="2">
        <v>0</v>
      </c>
      <c r="J532" s="2">
        <v>0</v>
      </c>
      <c r="K532" s="2">
        <v>0</v>
      </c>
      <c r="L532" s="4">
        <v>0.95</v>
      </c>
      <c r="M532" s="15"/>
    </row>
    <row r="533" spans="1:13" hidden="1" x14ac:dyDescent="0.25">
      <c r="A533" s="5">
        <v>45538</v>
      </c>
      <c r="B533" s="1" t="s">
        <v>19</v>
      </c>
      <c r="C533" s="1" t="s">
        <v>13</v>
      </c>
      <c r="D533" s="2">
        <v>4.1099999999999998E-2</v>
      </c>
      <c r="E533" s="3">
        <v>1</v>
      </c>
      <c r="F533" s="2">
        <v>7.2499999999999995E-2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4">
        <v>0.95</v>
      </c>
      <c r="M533" s="15"/>
    </row>
    <row r="534" spans="1:13" hidden="1" x14ac:dyDescent="0.25">
      <c r="A534" s="5">
        <v>45538</v>
      </c>
      <c r="B534" s="1" t="s">
        <v>19</v>
      </c>
      <c r="C534" s="1" t="s">
        <v>16</v>
      </c>
      <c r="D534" s="2">
        <v>3.9199999999999999E-2</v>
      </c>
      <c r="E534" s="3">
        <v>1</v>
      </c>
      <c r="F534" s="2">
        <v>0.06</v>
      </c>
      <c r="G534" s="2">
        <v>1.4999999999999999E-2</v>
      </c>
      <c r="H534" s="2">
        <v>0</v>
      </c>
      <c r="I534" s="2">
        <v>0</v>
      </c>
      <c r="J534" s="2">
        <v>0</v>
      </c>
      <c r="K534" s="2">
        <v>0</v>
      </c>
      <c r="L534" s="4">
        <v>0.95</v>
      </c>
      <c r="M534" s="15"/>
    </row>
    <row r="535" spans="1:13" hidden="1" x14ac:dyDescent="0.25">
      <c r="A535" s="5">
        <v>45538</v>
      </c>
      <c r="B535" s="1" t="s">
        <v>19</v>
      </c>
      <c r="C535" s="1" t="s">
        <v>17</v>
      </c>
      <c r="D535" s="2">
        <v>2.98E-2</v>
      </c>
      <c r="E535" s="3">
        <v>1</v>
      </c>
      <c r="F535" s="2">
        <v>9.9999000000000002</v>
      </c>
      <c r="G535" s="2">
        <v>0</v>
      </c>
      <c r="H535" s="2">
        <v>0</v>
      </c>
      <c r="I535" s="2">
        <v>0.09</v>
      </c>
      <c r="J535" s="2">
        <v>0</v>
      </c>
      <c r="K535" s="2">
        <v>0</v>
      </c>
      <c r="L535" s="4">
        <v>0.95</v>
      </c>
      <c r="M535" s="15"/>
    </row>
    <row r="536" spans="1:13" hidden="1" x14ac:dyDescent="0.25">
      <c r="A536" s="5">
        <v>45538</v>
      </c>
      <c r="B536" s="1" t="s">
        <v>19</v>
      </c>
      <c r="C536" s="1" t="s">
        <v>18</v>
      </c>
      <c r="D536" s="2">
        <v>4.2700000000000002E-2</v>
      </c>
      <c r="E536" s="3">
        <v>1</v>
      </c>
      <c r="F536" s="2">
        <v>9.9999000000000002</v>
      </c>
      <c r="G536" s="2">
        <v>0</v>
      </c>
      <c r="H536" s="2">
        <v>0.06</v>
      </c>
      <c r="I536" s="2">
        <v>0</v>
      </c>
      <c r="J536" s="2">
        <v>0</v>
      </c>
      <c r="K536" s="2">
        <v>0</v>
      </c>
      <c r="L536" s="4">
        <v>0.95</v>
      </c>
      <c r="M536" s="15"/>
    </row>
    <row r="537" spans="1:13" hidden="1" x14ac:dyDescent="0.25">
      <c r="A537" s="5">
        <v>45538</v>
      </c>
      <c r="B537" s="1" t="s">
        <v>20</v>
      </c>
      <c r="C537" s="1" t="s">
        <v>13</v>
      </c>
      <c r="D537" s="2">
        <v>5.1799999999999999E-2</v>
      </c>
      <c r="E537" s="3">
        <v>1</v>
      </c>
      <c r="F537" s="2">
        <v>9.7500000000000003E-2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4">
        <v>0.95</v>
      </c>
      <c r="M537" s="15"/>
    </row>
    <row r="538" spans="1:13" hidden="1" x14ac:dyDescent="0.25">
      <c r="A538" s="5">
        <v>45538</v>
      </c>
      <c r="B538" s="1" t="s">
        <v>20</v>
      </c>
      <c r="C538" s="1" t="s">
        <v>17</v>
      </c>
      <c r="D538" s="2">
        <v>3.4000000000000002E-2</v>
      </c>
      <c r="E538" s="3">
        <v>1</v>
      </c>
      <c r="F538" s="2">
        <v>9.9999000000000002</v>
      </c>
      <c r="G538" s="2">
        <v>0</v>
      </c>
      <c r="H538" s="2">
        <v>0</v>
      </c>
      <c r="I538" s="2">
        <v>0.08</v>
      </c>
      <c r="J538" s="2">
        <v>0</v>
      </c>
      <c r="K538" s="2">
        <v>0</v>
      </c>
      <c r="L538" s="4">
        <v>0.95</v>
      </c>
      <c r="M538" s="15"/>
    </row>
    <row r="539" spans="1:13" hidden="1" x14ac:dyDescent="0.25">
      <c r="A539" s="5">
        <v>45538</v>
      </c>
      <c r="B539" s="1" t="s">
        <v>20</v>
      </c>
      <c r="C539" s="1" t="s">
        <v>21</v>
      </c>
      <c r="D539" s="2">
        <v>5.9299999999999999E-2</v>
      </c>
      <c r="E539" s="3">
        <v>1</v>
      </c>
      <c r="F539" s="2">
        <v>0.12</v>
      </c>
      <c r="G539" s="2">
        <v>0</v>
      </c>
      <c r="H539" s="2">
        <v>0</v>
      </c>
      <c r="I539" s="2">
        <v>0</v>
      </c>
      <c r="J539" s="2">
        <v>4.1500000000000002E-2</v>
      </c>
      <c r="K539" s="2">
        <v>0.6</v>
      </c>
      <c r="L539" s="4">
        <v>0.95</v>
      </c>
      <c r="M539" s="15"/>
    </row>
    <row r="540" spans="1:13" hidden="1" x14ac:dyDescent="0.25">
      <c r="A540" s="5">
        <v>45538</v>
      </c>
      <c r="B540" s="1" t="s">
        <v>20</v>
      </c>
      <c r="C540" s="1" t="s">
        <v>22</v>
      </c>
      <c r="D540" s="2">
        <v>5.9299999999999999E-2</v>
      </c>
      <c r="E540" s="3">
        <v>1</v>
      </c>
      <c r="F540" s="2">
        <v>0.12</v>
      </c>
      <c r="G540" s="2">
        <v>0</v>
      </c>
      <c r="H540" s="2">
        <v>0</v>
      </c>
      <c r="I540" s="2">
        <v>0</v>
      </c>
      <c r="J540" s="2">
        <v>2.1499999999999998E-2</v>
      </c>
      <c r="K540" s="2">
        <v>0.24</v>
      </c>
      <c r="L540" s="4">
        <v>0.95</v>
      </c>
      <c r="M540" s="15"/>
    </row>
    <row r="541" spans="1:13" hidden="1" x14ac:dyDescent="0.25">
      <c r="A541" s="5">
        <v>45538</v>
      </c>
      <c r="B541" s="1" t="s">
        <v>23</v>
      </c>
      <c r="C541" s="1" t="s">
        <v>24</v>
      </c>
      <c r="D541" s="2">
        <v>5.1799999999999999E-2</v>
      </c>
      <c r="E541" s="3">
        <v>2.4</v>
      </c>
      <c r="F541" s="2">
        <v>9.9999000000000002</v>
      </c>
      <c r="G541" s="2">
        <v>0</v>
      </c>
      <c r="H541" s="2">
        <v>0</v>
      </c>
      <c r="I541" s="2">
        <v>0</v>
      </c>
      <c r="J541" s="2">
        <v>0</v>
      </c>
      <c r="K541" s="2">
        <v>0</v>
      </c>
      <c r="L541" s="4">
        <v>0.95</v>
      </c>
      <c r="M541" s="15"/>
    </row>
    <row r="542" spans="1:13" hidden="1" x14ac:dyDescent="0.25">
      <c r="A542" s="5">
        <v>45538</v>
      </c>
      <c r="B542" s="1" t="s">
        <v>23</v>
      </c>
      <c r="C542" s="1" t="s">
        <v>25</v>
      </c>
      <c r="D542" s="2">
        <v>5.1499999999999997E-2</v>
      </c>
      <c r="E542" s="3">
        <v>1</v>
      </c>
      <c r="F542" s="2">
        <v>0.10249999999999999</v>
      </c>
      <c r="G542" s="2">
        <v>0</v>
      </c>
      <c r="H542" s="2">
        <v>0</v>
      </c>
      <c r="I542" s="2">
        <v>0</v>
      </c>
      <c r="J542" s="2">
        <v>0</v>
      </c>
      <c r="K542" s="2">
        <v>0</v>
      </c>
      <c r="L542" s="4">
        <v>0.95</v>
      </c>
      <c r="M542" s="15"/>
    </row>
    <row r="543" spans="1:13" hidden="1" x14ac:dyDescent="0.25">
      <c r="A543" s="5">
        <v>45538</v>
      </c>
      <c r="B543" s="1" t="s">
        <v>23</v>
      </c>
      <c r="C543" s="1" t="s">
        <v>13</v>
      </c>
      <c r="D543" s="2">
        <v>5.3699999999999998E-2</v>
      </c>
      <c r="E543" s="3">
        <v>1</v>
      </c>
      <c r="F543" s="2">
        <v>0.10249999999999999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4">
        <v>0.95</v>
      </c>
      <c r="M543" s="15"/>
    </row>
    <row r="544" spans="1:13" hidden="1" x14ac:dyDescent="0.25">
      <c r="A544" s="5">
        <v>45538</v>
      </c>
      <c r="B544" s="1" t="s">
        <v>23</v>
      </c>
      <c r="C544" s="1" t="s">
        <v>17</v>
      </c>
      <c r="D544" s="2">
        <v>3.4000000000000002E-2</v>
      </c>
      <c r="E544" s="3">
        <v>1</v>
      </c>
      <c r="F544" s="2">
        <v>9.9999000000000002</v>
      </c>
      <c r="G544" s="2">
        <v>0</v>
      </c>
      <c r="H544" s="2">
        <v>0</v>
      </c>
      <c r="I544" s="2">
        <v>0.08</v>
      </c>
      <c r="J544" s="2">
        <v>0</v>
      </c>
      <c r="K544" s="2">
        <v>0</v>
      </c>
      <c r="L544" s="4">
        <v>0.95</v>
      </c>
      <c r="M544" s="15"/>
    </row>
    <row r="545" spans="1:13" hidden="1" x14ac:dyDescent="0.25">
      <c r="A545" s="5">
        <v>45538</v>
      </c>
      <c r="B545" s="1" t="s">
        <v>23</v>
      </c>
      <c r="C545" s="1" t="s">
        <v>21</v>
      </c>
      <c r="D545" s="2">
        <v>5.9299999999999999E-2</v>
      </c>
      <c r="E545" s="3">
        <v>1</v>
      </c>
      <c r="F545" s="2">
        <v>0.12</v>
      </c>
      <c r="G545" s="2">
        <v>0</v>
      </c>
      <c r="H545" s="2">
        <v>0</v>
      </c>
      <c r="I545" s="2">
        <v>0</v>
      </c>
      <c r="J545" s="2">
        <v>4.1500000000000002E-2</v>
      </c>
      <c r="K545" s="2">
        <v>0.6</v>
      </c>
      <c r="L545" s="4">
        <v>0.95</v>
      </c>
      <c r="M545" s="15"/>
    </row>
    <row r="546" spans="1:13" hidden="1" x14ac:dyDescent="0.25">
      <c r="A546" s="5">
        <v>45538</v>
      </c>
      <c r="B546" s="1" t="s">
        <v>23</v>
      </c>
      <c r="C546" s="1" t="s">
        <v>22</v>
      </c>
      <c r="D546" s="2">
        <v>5.9299999999999999E-2</v>
      </c>
      <c r="E546" s="3">
        <v>1</v>
      </c>
      <c r="F546" s="2">
        <v>0.12</v>
      </c>
      <c r="G546" s="2">
        <v>0</v>
      </c>
      <c r="H546" s="2">
        <v>0</v>
      </c>
      <c r="I546" s="2">
        <v>0</v>
      </c>
      <c r="J546" s="2">
        <v>2.1499999999999998E-2</v>
      </c>
      <c r="K546" s="2">
        <v>0.24</v>
      </c>
      <c r="L546" s="4">
        <v>0.95</v>
      </c>
      <c r="M546" s="15"/>
    </row>
    <row r="547" spans="1:13" hidden="1" x14ac:dyDescent="0.25">
      <c r="A547" s="5">
        <v>45538</v>
      </c>
      <c r="B547" s="1" t="s">
        <v>26</v>
      </c>
      <c r="C547" s="1" t="s">
        <v>24</v>
      </c>
      <c r="D547" s="2">
        <v>5.1799999999999999E-2</v>
      </c>
      <c r="E547" s="3">
        <v>2.4</v>
      </c>
      <c r="F547" s="2">
        <v>9.9999000000000002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4">
        <v>0.95</v>
      </c>
      <c r="M547" s="15"/>
    </row>
    <row r="548" spans="1:13" hidden="1" x14ac:dyDescent="0.25">
      <c r="A548" s="5">
        <v>45538</v>
      </c>
      <c r="B548" s="1" t="s">
        <v>26</v>
      </c>
      <c r="C548" s="1" t="s">
        <v>25</v>
      </c>
      <c r="D548" s="2">
        <v>5.0500000000000003E-2</v>
      </c>
      <c r="E548" s="3">
        <v>1</v>
      </c>
      <c r="F548" s="2">
        <v>0.1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4">
        <v>0.95</v>
      </c>
      <c r="M548" s="15"/>
    </row>
    <row r="549" spans="1:13" hidden="1" x14ac:dyDescent="0.25">
      <c r="A549" s="5">
        <v>45538</v>
      </c>
      <c r="B549" s="1" t="s">
        <v>26</v>
      </c>
      <c r="C549" s="1" t="s">
        <v>13</v>
      </c>
      <c r="D549" s="2">
        <v>5.28E-2</v>
      </c>
      <c r="E549" s="3">
        <v>1</v>
      </c>
      <c r="F549" s="2">
        <v>0.1</v>
      </c>
      <c r="G549" s="2">
        <v>0</v>
      </c>
      <c r="H549" s="2">
        <v>0</v>
      </c>
      <c r="I549" s="2">
        <v>0</v>
      </c>
      <c r="J549" s="2">
        <v>0</v>
      </c>
      <c r="K549" s="2">
        <v>0</v>
      </c>
      <c r="L549" s="4">
        <v>0.95</v>
      </c>
      <c r="M549" s="15"/>
    </row>
    <row r="550" spans="1:13" hidden="1" x14ac:dyDescent="0.25">
      <c r="A550" s="5">
        <v>45538</v>
      </c>
      <c r="B550" s="1" t="s">
        <v>26</v>
      </c>
      <c r="C550" s="1" t="s">
        <v>17</v>
      </c>
      <c r="D550" s="2">
        <v>3.4000000000000002E-2</v>
      </c>
      <c r="E550" s="3">
        <v>1</v>
      </c>
      <c r="F550" s="2">
        <v>9.9999000000000002</v>
      </c>
      <c r="G550" s="2">
        <v>0</v>
      </c>
      <c r="H550" s="2">
        <v>0</v>
      </c>
      <c r="I550" s="2">
        <v>0.08</v>
      </c>
      <c r="J550" s="2">
        <v>0</v>
      </c>
      <c r="K550" s="2">
        <v>0</v>
      </c>
      <c r="L550" s="4">
        <v>0.95</v>
      </c>
      <c r="M550" s="15"/>
    </row>
    <row r="551" spans="1:13" hidden="1" x14ac:dyDescent="0.25">
      <c r="A551" s="5">
        <v>45538</v>
      </c>
      <c r="B551" s="1" t="s">
        <v>26</v>
      </c>
      <c r="C551" s="1" t="s">
        <v>21</v>
      </c>
      <c r="D551" s="2">
        <v>5.9299999999999999E-2</v>
      </c>
      <c r="E551" s="3">
        <v>1</v>
      </c>
      <c r="F551" s="2">
        <v>0.12</v>
      </c>
      <c r="G551" s="2">
        <v>0</v>
      </c>
      <c r="H551" s="2">
        <v>0</v>
      </c>
      <c r="I551" s="2">
        <v>0</v>
      </c>
      <c r="J551" s="2">
        <v>4.1500000000000002E-2</v>
      </c>
      <c r="K551" s="2">
        <v>0.6</v>
      </c>
      <c r="L551" s="4">
        <v>0.95</v>
      </c>
      <c r="M551" s="15"/>
    </row>
    <row r="552" spans="1:13" hidden="1" x14ac:dyDescent="0.25">
      <c r="A552" s="5">
        <v>45538</v>
      </c>
      <c r="B552" s="1" t="s">
        <v>26</v>
      </c>
      <c r="C552" s="1" t="s">
        <v>22</v>
      </c>
      <c r="D552" s="2">
        <v>5.9299999999999999E-2</v>
      </c>
      <c r="E552" s="3">
        <v>1</v>
      </c>
      <c r="F552" s="2">
        <v>0.12</v>
      </c>
      <c r="G552" s="2">
        <v>0</v>
      </c>
      <c r="H552" s="2">
        <v>0</v>
      </c>
      <c r="I552" s="2">
        <v>0</v>
      </c>
      <c r="J552" s="2">
        <v>2.1499999999999998E-2</v>
      </c>
      <c r="K552" s="2">
        <v>0.24</v>
      </c>
      <c r="L552" s="4">
        <v>0.95</v>
      </c>
      <c r="M552" s="15"/>
    </row>
    <row r="553" spans="1:13" hidden="1" x14ac:dyDescent="0.25">
      <c r="A553" s="5">
        <v>45538</v>
      </c>
      <c r="B553" s="1" t="s">
        <v>27</v>
      </c>
      <c r="C553" s="1" t="s">
        <v>13</v>
      </c>
      <c r="D553" s="2">
        <v>4.99E-2</v>
      </c>
      <c r="E553" s="3">
        <v>1</v>
      </c>
      <c r="F553" s="2">
        <v>9.2499999999999999E-2</v>
      </c>
      <c r="G553" s="2">
        <v>0</v>
      </c>
      <c r="H553" s="2">
        <v>0</v>
      </c>
      <c r="I553" s="2">
        <v>0</v>
      </c>
      <c r="J553" s="2">
        <v>0</v>
      </c>
      <c r="K553" s="2">
        <v>0</v>
      </c>
      <c r="L553" s="4">
        <v>0.95</v>
      </c>
      <c r="M553" s="15"/>
    </row>
    <row r="554" spans="1:13" hidden="1" x14ac:dyDescent="0.25">
      <c r="A554" s="5">
        <v>45538</v>
      </c>
      <c r="B554" s="1" t="s">
        <v>27</v>
      </c>
      <c r="C554" s="1" t="s">
        <v>17</v>
      </c>
      <c r="D554" s="2">
        <v>2.98E-2</v>
      </c>
      <c r="E554" s="3">
        <v>1</v>
      </c>
      <c r="F554" s="2">
        <v>9.9999000000000002</v>
      </c>
      <c r="G554" s="2">
        <v>0</v>
      </c>
      <c r="H554" s="2">
        <v>0</v>
      </c>
      <c r="I554" s="2">
        <v>0.09</v>
      </c>
      <c r="J554" s="2">
        <v>0</v>
      </c>
      <c r="K554" s="2">
        <v>0</v>
      </c>
      <c r="L554" s="4">
        <v>0.95</v>
      </c>
      <c r="M554" s="15"/>
    </row>
    <row r="555" spans="1:13" hidden="1" x14ac:dyDescent="0.25">
      <c r="A555" s="5">
        <v>45538</v>
      </c>
      <c r="B555" s="1" t="s">
        <v>27</v>
      </c>
      <c r="C555" s="1" t="s">
        <v>24</v>
      </c>
      <c r="D555" s="2">
        <v>5.1799999999999999E-2</v>
      </c>
      <c r="E555" s="3">
        <v>2.2000000000000002</v>
      </c>
      <c r="F555" s="2">
        <v>9.9999000000000002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4">
        <v>0.95</v>
      </c>
      <c r="M555" s="15"/>
    </row>
    <row r="556" spans="1:13" hidden="1" x14ac:dyDescent="0.25">
      <c r="A556" s="5">
        <v>45538</v>
      </c>
      <c r="B556" s="1" t="s">
        <v>27</v>
      </c>
      <c r="C556" s="1" t="s">
        <v>25</v>
      </c>
      <c r="D556" s="2">
        <v>4.7399999999999998E-2</v>
      </c>
      <c r="E556" s="3">
        <v>1</v>
      </c>
      <c r="F556" s="2">
        <v>9.2499999999999999E-2</v>
      </c>
      <c r="G556" s="2">
        <v>0</v>
      </c>
      <c r="H556" s="2">
        <v>0</v>
      </c>
      <c r="I556" s="2">
        <v>0</v>
      </c>
      <c r="J556" s="2">
        <v>0</v>
      </c>
      <c r="K556" s="2">
        <v>0</v>
      </c>
      <c r="L556" s="4">
        <v>0.95</v>
      </c>
      <c r="M556" s="15"/>
    </row>
    <row r="557" spans="1:13" hidden="1" x14ac:dyDescent="0.25">
      <c r="A557" s="5">
        <v>45538</v>
      </c>
      <c r="B557" s="1" t="s">
        <v>30</v>
      </c>
      <c r="C557" s="1" t="s">
        <v>13</v>
      </c>
      <c r="D557" s="2">
        <v>5.0900000000000001E-2</v>
      </c>
      <c r="E557" s="3">
        <v>1</v>
      </c>
      <c r="F557" s="2">
        <v>9.5000000000000001E-2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4">
        <v>0.95</v>
      </c>
      <c r="M557" s="15"/>
    </row>
    <row r="558" spans="1:13" hidden="1" x14ac:dyDescent="0.25">
      <c r="A558" s="5">
        <v>45538</v>
      </c>
      <c r="B558" s="1" t="s">
        <v>30</v>
      </c>
      <c r="C558" s="1" t="s">
        <v>17</v>
      </c>
      <c r="D558" s="2">
        <v>2.98E-2</v>
      </c>
      <c r="E558" s="3">
        <v>1</v>
      </c>
      <c r="F558" s="2">
        <v>9.9999000000000002</v>
      </c>
      <c r="G558" s="2">
        <v>0</v>
      </c>
      <c r="H558" s="2">
        <v>0</v>
      </c>
      <c r="I558" s="2">
        <v>0.09</v>
      </c>
      <c r="J558" s="2">
        <v>0</v>
      </c>
      <c r="K558" s="2">
        <v>0</v>
      </c>
      <c r="L558" s="4">
        <v>0.95</v>
      </c>
      <c r="M558" s="15"/>
    </row>
    <row r="559" spans="1:13" hidden="1" x14ac:dyDescent="0.25">
      <c r="A559" s="5">
        <v>45538</v>
      </c>
      <c r="B559" s="1" t="s">
        <v>30</v>
      </c>
      <c r="C559" s="1" t="s">
        <v>24</v>
      </c>
      <c r="D559" s="2">
        <v>5.1799999999999999E-2</v>
      </c>
      <c r="E559" s="3">
        <v>2.2000000000000002</v>
      </c>
      <c r="F559" s="2">
        <v>9.9999000000000002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4">
        <v>0.95</v>
      </c>
      <c r="M559" s="15"/>
    </row>
    <row r="560" spans="1:13" hidden="1" x14ac:dyDescent="0.25">
      <c r="A560" s="5">
        <v>45538</v>
      </c>
      <c r="B560" s="1" t="s">
        <v>30</v>
      </c>
      <c r="C560" s="1" t="s">
        <v>25</v>
      </c>
      <c r="D560" s="2">
        <v>4.8500000000000001E-2</v>
      </c>
      <c r="E560" s="3">
        <v>1</v>
      </c>
      <c r="F560" s="2">
        <v>9.5000000000000001E-2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4">
        <v>0.95</v>
      </c>
      <c r="M560" s="15"/>
    </row>
    <row r="561" spans="1:13" hidden="1" x14ac:dyDescent="0.25">
      <c r="A561" s="5">
        <v>45538</v>
      </c>
      <c r="B561" s="1" t="s">
        <v>28</v>
      </c>
      <c r="C561" s="1" t="s">
        <v>13</v>
      </c>
      <c r="D561" s="2">
        <v>4.6699999999999998E-2</v>
      </c>
      <c r="E561" s="3">
        <v>1</v>
      </c>
      <c r="F561" s="2">
        <v>8.5000000000000006E-2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4">
        <v>0.95</v>
      </c>
      <c r="M561" s="15"/>
    </row>
    <row r="562" spans="1:13" hidden="1" x14ac:dyDescent="0.25">
      <c r="A562" s="5">
        <v>45538</v>
      </c>
      <c r="B562" s="1" t="s">
        <v>28</v>
      </c>
      <c r="C562" s="1" t="s">
        <v>16</v>
      </c>
      <c r="D562" s="2">
        <v>3.04E-2</v>
      </c>
      <c r="E562" s="3">
        <v>1</v>
      </c>
      <c r="F562" s="2">
        <v>7.0000000000000007E-2</v>
      </c>
      <c r="G562" s="2">
        <v>1.4999999999999999E-2</v>
      </c>
      <c r="H562" s="2">
        <v>0</v>
      </c>
      <c r="I562" s="2">
        <v>0</v>
      </c>
      <c r="J562" s="2">
        <v>0</v>
      </c>
      <c r="K562" s="2">
        <v>0</v>
      </c>
      <c r="L562" s="4">
        <v>0.95</v>
      </c>
      <c r="M562" s="15"/>
    </row>
    <row r="563" spans="1:13" hidden="1" x14ac:dyDescent="0.25">
      <c r="A563" s="5">
        <v>45538</v>
      </c>
      <c r="B563" s="1" t="s">
        <v>28</v>
      </c>
      <c r="C563" s="1" t="s">
        <v>17</v>
      </c>
      <c r="D563" s="2">
        <v>3.5200000000000002E-2</v>
      </c>
      <c r="E563" s="3">
        <v>1</v>
      </c>
      <c r="F563" s="2">
        <v>9.9999000000000002</v>
      </c>
      <c r="G563" s="2">
        <v>0</v>
      </c>
      <c r="H563" s="2">
        <v>0</v>
      </c>
      <c r="I563" s="2">
        <v>7.7499999999999999E-2</v>
      </c>
      <c r="J563" s="2">
        <v>0</v>
      </c>
      <c r="K563" s="2">
        <v>0</v>
      </c>
      <c r="L563" s="4">
        <v>0.95</v>
      </c>
      <c r="M563" s="15"/>
    </row>
    <row r="564" spans="1:13" hidden="1" x14ac:dyDescent="0.25">
      <c r="A564" s="5">
        <v>45538</v>
      </c>
      <c r="B564" s="1" t="s">
        <v>28</v>
      </c>
      <c r="C564" s="1" t="s">
        <v>18</v>
      </c>
      <c r="D564" s="2">
        <v>4.6199999999999998E-2</v>
      </c>
      <c r="E564" s="3">
        <v>1</v>
      </c>
      <c r="F564" s="2">
        <v>9.9999000000000002</v>
      </c>
      <c r="G564" s="2">
        <v>0</v>
      </c>
      <c r="H564" s="2">
        <v>6.5000000000000002E-2</v>
      </c>
      <c r="I564" s="2">
        <v>0</v>
      </c>
      <c r="J564" s="2">
        <v>0</v>
      </c>
      <c r="K564" s="2">
        <v>0</v>
      </c>
      <c r="L564" s="4">
        <v>0.95</v>
      </c>
      <c r="M564" s="15"/>
    </row>
    <row r="565" spans="1:13" hidden="1" x14ac:dyDescent="0.25">
      <c r="A565" s="5">
        <v>45538</v>
      </c>
      <c r="B565" s="1" t="s">
        <v>29</v>
      </c>
      <c r="C565" s="1" t="s">
        <v>13</v>
      </c>
      <c r="D565" s="2">
        <v>4.3400000000000001E-2</v>
      </c>
      <c r="E565" s="3">
        <v>1</v>
      </c>
      <c r="F565" s="2">
        <v>7.7499999999999999E-2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4">
        <v>0.95</v>
      </c>
      <c r="M565" s="15"/>
    </row>
    <row r="566" spans="1:13" hidden="1" x14ac:dyDescent="0.25">
      <c r="A566" s="5">
        <v>45538</v>
      </c>
      <c r="B566" s="1" t="s">
        <v>29</v>
      </c>
      <c r="C566" s="1" t="s">
        <v>16</v>
      </c>
      <c r="D566" s="2">
        <v>2.4299999999999999E-2</v>
      </c>
      <c r="E566" s="3">
        <v>1</v>
      </c>
      <c r="F566" s="2">
        <v>5.7500000000000002E-2</v>
      </c>
      <c r="G566" s="2">
        <v>1.4999999999999999E-2</v>
      </c>
      <c r="H566" s="2">
        <v>0</v>
      </c>
      <c r="I566" s="2">
        <v>0</v>
      </c>
      <c r="J566" s="2">
        <v>0</v>
      </c>
      <c r="K566" s="2">
        <v>0</v>
      </c>
      <c r="L566" s="4">
        <v>0.95</v>
      </c>
      <c r="M566" s="15"/>
    </row>
    <row r="567" spans="1:13" hidden="1" x14ac:dyDescent="0.25">
      <c r="A567" s="5">
        <v>45538</v>
      </c>
      <c r="B567" s="1" t="s">
        <v>29</v>
      </c>
      <c r="C567" s="1" t="s">
        <v>17</v>
      </c>
      <c r="D567" s="2">
        <v>3.1E-2</v>
      </c>
      <c r="E567" s="3">
        <v>1</v>
      </c>
      <c r="F567" s="2">
        <v>9.9999000000000002</v>
      </c>
      <c r="G567" s="2">
        <v>0</v>
      </c>
      <c r="H567" s="2">
        <v>0</v>
      </c>
      <c r="I567" s="2">
        <v>8.6999999999999994E-2</v>
      </c>
      <c r="J567" s="2">
        <v>0</v>
      </c>
      <c r="K567" s="2">
        <v>0</v>
      </c>
      <c r="L567" s="4">
        <v>0.95</v>
      </c>
      <c r="M567" s="15"/>
    </row>
    <row r="568" spans="1:13" hidden="1" x14ac:dyDescent="0.25">
      <c r="A568" s="5">
        <v>45538</v>
      </c>
      <c r="B568" s="1" t="s">
        <v>29</v>
      </c>
      <c r="C568" s="1" t="s">
        <v>18</v>
      </c>
      <c r="D568" s="2">
        <v>4.0500000000000001E-2</v>
      </c>
      <c r="E568" s="3">
        <v>1</v>
      </c>
      <c r="F568" s="2">
        <v>9.9999000000000002</v>
      </c>
      <c r="G568" s="2">
        <v>0</v>
      </c>
      <c r="H568" s="2">
        <v>5.7000000000000002E-2</v>
      </c>
      <c r="I568" s="2">
        <v>0</v>
      </c>
      <c r="J568" s="2">
        <v>0</v>
      </c>
      <c r="K568" s="2">
        <v>0</v>
      </c>
      <c r="L568" s="4">
        <v>0.95</v>
      </c>
      <c r="M568" s="15"/>
    </row>
    <row r="569" spans="1:13" hidden="1" x14ac:dyDescent="0.25">
      <c r="A569" s="5">
        <v>45566</v>
      </c>
      <c r="B569" s="1" t="s">
        <v>12</v>
      </c>
      <c r="C569" s="1" t="s">
        <v>13</v>
      </c>
      <c r="D569" s="2">
        <v>5.1799999999999999E-2</v>
      </c>
      <c r="E569" s="3">
        <v>1</v>
      </c>
      <c r="F569" s="2">
        <v>9.7500000000000003E-2</v>
      </c>
      <c r="G569" s="2">
        <v>0</v>
      </c>
      <c r="H569" s="2">
        <v>0</v>
      </c>
      <c r="I569" s="2">
        <v>0</v>
      </c>
      <c r="J569" s="2">
        <v>0</v>
      </c>
      <c r="K569" s="2">
        <v>0</v>
      </c>
      <c r="L569" s="4">
        <v>0.95</v>
      </c>
      <c r="M569" s="15"/>
    </row>
    <row r="570" spans="1:13" hidden="1" x14ac:dyDescent="0.25">
      <c r="A570" s="5">
        <v>45566</v>
      </c>
      <c r="B570" s="1" t="s">
        <v>15</v>
      </c>
      <c r="C570" s="1" t="s">
        <v>13</v>
      </c>
      <c r="D570" s="2">
        <v>5.1799999999999999E-2</v>
      </c>
      <c r="E570" s="3">
        <v>1</v>
      </c>
      <c r="F570" s="2">
        <v>9.7500000000000003E-2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4">
        <v>0.95</v>
      </c>
      <c r="M570" s="15"/>
    </row>
    <row r="571" spans="1:13" hidden="1" x14ac:dyDescent="0.25">
      <c r="A571" s="5">
        <v>45566</v>
      </c>
      <c r="B571" s="1" t="s">
        <v>15</v>
      </c>
      <c r="C571" s="1" t="s">
        <v>16</v>
      </c>
      <c r="D571" s="2">
        <v>3.7100000000000001E-2</v>
      </c>
      <c r="E571" s="3">
        <v>1</v>
      </c>
      <c r="F571" s="2">
        <v>8.5000000000000006E-2</v>
      </c>
      <c r="G571" s="2">
        <v>1.4999999999999999E-2</v>
      </c>
      <c r="H571" s="2">
        <v>0</v>
      </c>
      <c r="I571" s="2">
        <v>0</v>
      </c>
      <c r="J571" s="2">
        <v>0</v>
      </c>
      <c r="K571" s="2">
        <v>0</v>
      </c>
      <c r="L571" s="4">
        <v>0.95</v>
      </c>
      <c r="M571" s="15"/>
    </row>
    <row r="572" spans="1:13" hidden="1" x14ac:dyDescent="0.25">
      <c r="A572" s="5">
        <v>45566</v>
      </c>
      <c r="B572" s="1" t="s">
        <v>15</v>
      </c>
      <c r="C572" s="1" t="s">
        <v>17</v>
      </c>
      <c r="D572" s="2">
        <v>3.4299999999999997E-2</v>
      </c>
      <c r="E572" s="3">
        <v>1</v>
      </c>
      <c r="F572" s="2">
        <v>9.9999000000000002</v>
      </c>
      <c r="G572" s="2">
        <v>0</v>
      </c>
      <c r="H572" s="2">
        <v>0</v>
      </c>
      <c r="I572" s="2">
        <v>0.08</v>
      </c>
      <c r="J572" s="2">
        <v>0</v>
      </c>
      <c r="K572" s="2">
        <v>0</v>
      </c>
      <c r="L572" s="4">
        <v>0.95</v>
      </c>
      <c r="M572" s="15"/>
    </row>
    <row r="573" spans="1:13" hidden="1" x14ac:dyDescent="0.25">
      <c r="A573" s="5">
        <v>45566</v>
      </c>
      <c r="B573" s="1" t="s">
        <v>15</v>
      </c>
      <c r="C573" s="1" t="s">
        <v>18</v>
      </c>
      <c r="D573" s="2">
        <v>5.21E-2</v>
      </c>
      <c r="E573" s="3">
        <v>1</v>
      </c>
      <c r="F573" s="2">
        <v>9.9999000000000002</v>
      </c>
      <c r="G573" s="2">
        <v>0</v>
      </c>
      <c r="H573" s="2">
        <v>7.4999999999999997E-2</v>
      </c>
      <c r="I573" s="2">
        <v>0</v>
      </c>
      <c r="J573" s="2">
        <v>0</v>
      </c>
      <c r="K573" s="2">
        <v>0</v>
      </c>
      <c r="L573" s="4">
        <v>0.95</v>
      </c>
      <c r="M573" s="15"/>
    </row>
    <row r="574" spans="1:13" hidden="1" x14ac:dyDescent="0.25">
      <c r="A574" s="5">
        <v>45566</v>
      </c>
      <c r="B574" s="1" t="s">
        <v>19</v>
      </c>
      <c r="C574" s="1" t="s">
        <v>13</v>
      </c>
      <c r="D574" s="2">
        <v>4.1099999999999998E-2</v>
      </c>
      <c r="E574" s="3">
        <v>1</v>
      </c>
      <c r="F574" s="2">
        <v>7.2499999999999995E-2</v>
      </c>
      <c r="G574" s="2">
        <v>0</v>
      </c>
      <c r="H574" s="2">
        <v>0</v>
      </c>
      <c r="I574" s="2">
        <v>0</v>
      </c>
      <c r="J574" s="2">
        <v>0</v>
      </c>
      <c r="K574" s="2">
        <v>0</v>
      </c>
      <c r="L574" s="4">
        <v>0.95</v>
      </c>
      <c r="M574" s="15"/>
    </row>
    <row r="575" spans="1:13" hidden="1" x14ac:dyDescent="0.25">
      <c r="A575" s="5">
        <v>45566</v>
      </c>
      <c r="B575" s="1" t="s">
        <v>19</v>
      </c>
      <c r="C575" s="1" t="s">
        <v>16</v>
      </c>
      <c r="D575" s="2">
        <v>2.5499999999999998E-2</v>
      </c>
      <c r="E575" s="3">
        <v>1</v>
      </c>
      <c r="F575" s="2">
        <v>0.06</v>
      </c>
      <c r="G575" s="2">
        <v>1.4999999999999999E-2</v>
      </c>
      <c r="H575" s="2">
        <v>0</v>
      </c>
      <c r="I575" s="2">
        <v>0</v>
      </c>
      <c r="J575" s="2">
        <v>0</v>
      </c>
      <c r="K575" s="2">
        <v>0</v>
      </c>
      <c r="L575" s="4">
        <v>0.95</v>
      </c>
      <c r="M575" s="15"/>
    </row>
    <row r="576" spans="1:13" hidden="1" x14ac:dyDescent="0.25">
      <c r="A576" s="5">
        <v>45566</v>
      </c>
      <c r="B576" s="1" t="s">
        <v>19</v>
      </c>
      <c r="C576" s="1" t="s">
        <v>17</v>
      </c>
      <c r="D576" s="2">
        <v>0.03</v>
      </c>
      <c r="E576" s="3">
        <v>1</v>
      </c>
      <c r="F576" s="2">
        <v>9.9999000000000002</v>
      </c>
      <c r="G576" s="2">
        <v>0</v>
      </c>
      <c r="H576" s="2">
        <v>0</v>
      </c>
      <c r="I576" s="2">
        <v>0.09</v>
      </c>
      <c r="J576" s="2">
        <v>0</v>
      </c>
      <c r="K576" s="2">
        <v>0</v>
      </c>
      <c r="L576" s="4">
        <v>0.95</v>
      </c>
      <c r="M576" s="15"/>
    </row>
    <row r="577" spans="1:13" hidden="1" x14ac:dyDescent="0.25">
      <c r="A577" s="5">
        <v>45566</v>
      </c>
      <c r="B577" s="1" t="s">
        <v>19</v>
      </c>
      <c r="C577" s="1" t="s">
        <v>18</v>
      </c>
      <c r="D577" s="2">
        <v>4.1700000000000001E-2</v>
      </c>
      <c r="E577" s="3">
        <v>1</v>
      </c>
      <c r="F577" s="2">
        <v>9.9999000000000002</v>
      </c>
      <c r="G577" s="2">
        <v>0</v>
      </c>
      <c r="H577" s="2">
        <v>0.06</v>
      </c>
      <c r="I577" s="2">
        <v>0</v>
      </c>
      <c r="J577" s="2">
        <v>0</v>
      </c>
      <c r="K577" s="2">
        <v>0</v>
      </c>
      <c r="L577" s="4">
        <v>0.95</v>
      </c>
      <c r="M577" s="15"/>
    </row>
    <row r="578" spans="1:13" hidden="1" x14ac:dyDescent="0.25">
      <c r="A578" s="5">
        <v>45566</v>
      </c>
      <c r="B578" s="1" t="s">
        <v>20</v>
      </c>
      <c r="C578" s="1" t="s">
        <v>13</v>
      </c>
      <c r="D578" s="2">
        <v>5.1799999999999999E-2</v>
      </c>
      <c r="E578" s="3">
        <v>1</v>
      </c>
      <c r="F578" s="2">
        <v>9.7500000000000003E-2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4">
        <v>0.95</v>
      </c>
      <c r="M578" s="15"/>
    </row>
    <row r="579" spans="1:13" hidden="1" x14ac:dyDescent="0.25">
      <c r="A579" s="5">
        <v>45566</v>
      </c>
      <c r="B579" s="1" t="s">
        <v>20</v>
      </c>
      <c r="C579" s="1" t="s">
        <v>17</v>
      </c>
      <c r="D579" s="2">
        <v>3.4299999999999997E-2</v>
      </c>
      <c r="E579" s="3">
        <v>1</v>
      </c>
      <c r="F579" s="2">
        <v>9.9999000000000002</v>
      </c>
      <c r="G579" s="2">
        <v>0</v>
      </c>
      <c r="H579" s="2">
        <v>0</v>
      </c>
      <c r="I579" s="2">
        <v>0.08</v>
      </c>
      <c r="J579" s="2">
        <v>0</v>
      </c>
      <c r="K579" s="2">
        <v>0</v>
      </c>
      <c r="L579" s="4">
        <v>0.95</v>
      </c>
      <c r="M579" s="15"/>
    </row>
    <row r="580" spans="1:13" hidden="1" x14ac:dyDescent="0.25">
      <c r="A580" s="5">
        <v>45566</v>
      </c>
      <c r="B580" s="1" t="s">
        <v>20</v>
      </c>
      <c r="C580" s="1" t="s">
        <v>21</v>
      </c>
      <c r="D580" s="2">
        <v>5.9400000000000001E-2</v>
      </c>
      <c r="E580" s="3">
        <v>1</v>
      </c>
      <c r="F580" s="2">
        <v>0.12</v>
      </c>
      <c r="G580" s="2">
        <v>0</v>
      </c>
      <c r="H580" s="2">
        <v>0</v>
      </c>
      <c r="I580" s="2">
        <v>0</v>
      </c>
      <c r="J580" s="2">
        <v>4.1500000000000002E-2</v>
      </c>
      <c r="K580" s="2">
        <v>0.6</v>
      </c>
      <c r="L580" s="4">
        <v>0.95</v>
      </c>
      <c r="M580" s="15"/>
    </row>
    <row r="581" spans="1:13" hidden="1" x14ac:dyDescent="0.25">
      <c r="A581" s="5">
        <v>45566</v>
      </c>
      <c r="B581" s="1" t="s">
        <v>20</v>
      </c>
      <c r="C581" s="1" t="s">
        <v>22</v>
      </c>
      <c r="D581" s="2">
        <v>5.9400000000000001E-2</v>
      </c>
      <c r="E581" s="3">
        <v>1</v>
      </c>
      <c r="F581" s="2">
        <v>0.12</v>
      </c>
      <c r="G581" s="2">
        <v>0</v>
      </c>
      <c r="H581" s="2">
        <v>0</v>
      </c>
      <c r="I581" s="2">
        <v>0</v>
      </c>
      <c r="J581" s="2">
        <v>2.1499999999999998E-2</v>
      </c>
      <c r="K581" s="2">
        <v>0.24</v>
      </c>
      <c r="L581" s="4">
        <v>0.95</v>
      </c>
      <c r="M581" s="15"/>
    </row>
    <row r="582" spans="1:13" hidden="1" x14ac:dyDescent="0.25">
      <c r="A582" s="5">
        <v>45566</v>
      </c>
      <c r="B582" s="1" t="s">
        <v>23</v>
      </c>
      <c r="C582" s="1" t="s">
        <v>24</v>
      </c>
      <c r="D582" s="2">
        <v>2.3099999999999999E-2</v>
      </c>
      <c r="E582" s="3">
        <v>2.4</v>
      </c>
      <c r="F582" s="2">
        <v>9.9999000000000002</v>
      </c>
      <c r="G582" s="2">
        <v>0</v>
      </c>
      <c r="H582" s="2">
        <v>0</v>
      </c>
      <c r="I582" s="2">
        <v>0</v>
      </c>
      <c r="J582" s="2">
        <v>0</v>
      </c>
      <c r="K582" s="2">
        <v>0</v>
      </c>
      <c r="L582" s="4">
        <v>0.95</v>
      </c>
      <c r="M582" s="15"/>
    </row>
    <row r="583" spans="1:13" hidden="1" x14ac:dyDescent="0.25">
      <c r="A583" s="5">
        <v>45566</v>
      </c>
      <c r="B583" s="1" t="s">
        <v>23</v>
      </c>
      <c r="C583" s="1" t="s">
        <v>25</v>
      </c>
      <c r="D583" s="2">
        <v>5.0900000000000001E-2</v>
      </c>
      <c r="E583" s="3">
        <v>1</v>
      </c>
      <c r="F583" s="2">
        <v>0.10249999999999999</v>
      </c>
      <c r="G583" s="2">
        <v>0</v>
      </c>
      <c r="H583" s="2">
        <v>0</v>
      </c>
      <c r="I583" s="2">
        <v>0</v>
      </c>
      <c r="J583" s="2">
        <v>0</v>
      </c>
      <c r="K583" s="2">
        <v>0</v>
      </c>
      <c r="L583" s="4">
        <v>0.95</v>
      </c>
      <c r="M583" s="15"/>
    </row>
    <row r="584" spans="1:13" hidden="1" x14ac:dyDescent="0.25">
      <c r="A584" s="5">
        <v>45566</v>
      </c>
      <c r="B584" s="1" t="s">
        <v>23</v>
      </c>
      <c r="C584" s="1" t="s">
        <v>13</v>
      </c>
      <c r="D584" s="2">
        <v>5.3699999999999998E-2</v>
      </c>
      <c r="E584" s="3">
        <v>1</v>
      </c>
      <c r="F584" s="2">
        <v>0.10249999999999999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4">
        <v>0.95</v>
      </c>
      <c r="M584" s="15"/>
    </row>
    <row r="585" spans="1:13" hidden="1" x14ac:dyDescent="0.25">
      <c r="A585" s="5">
        <v>45566</v>
      </c>
      <c r="B585" s="1" t="s">
        <v>23</v>
      </c>
      <c r="C585" s="1" t="s">
        <v>17</v>
      </c>
      <c r="D585" s="2">
        <v>3.4299999999999997E-2</v>
      </c>
      <c r="E585" s="3">
        <v>1</v>
      </c>
      <c r="F585" s="2">
        <v>9.9999000000000002</v>
      </c>
      <c r="G585" s="2">
        <v>0</v>
      </c>
      <c r="H585" s="2">
        <v>0</v>
      </c>
      <c r="I585" s="2">
        <v>0.08</v>
      </c>
      <c r="J585" s="2">
        <v>0</v>
      </c>
      <c r="K585" s="2">
        <v>0</v>
      </c>
      <c r="L585" s="4">
        <v>0.95</v>
      </c>
      <c r="M585" s="15"/>
    </row>
    <row r="586" spans="1:13" hidden="1" x14ac:dyDescent="0.25">
      <c r="A586" s="5">
        <v>45566</v>
      </c>
      <c r="B586" s="1" t="s">
        <v>23</v>
      </c>
      <c r="C586" s="1" t="s">
        <v>21</v>
      </c>
      <c r="D586" s="2">
        <v>5.9400000000000001E-2</v>
      </c>
      <c r="E586" s="3">
        <v>1</v>
      </c>
      <c r="F586" s="2">
        <v>0.12</v>
      </c>
      <c r="G586" s="2">
        <v>0</v>
      </c>
      <c r="H586" s="2">
        <v>0</v>
      </c>
      <c r="I586" s="2">
        <v>0</v>
      </c>
      <c r="J586" s="2">
        <v>4.1500000000000002E-2</v>
      </c>
      <c r="K586" s="2">
        <v>0.6</v>
      </c>
      <c r="L586" s="4">
        <v>0.95</v>
      </c>
      <c r="M586" s="15"/>
    </row>
    <row r="587" spans="1:13" hidden="1" x14ac:dyDescent="0.25">
      <c r="A587" s="5">
        <v>45566</v>
      </c>
      <c r="B587" s="1" t="s">
        <v>23</v>
      </c>
      <c r="C587" s="1" t="s">
        <v>22</v>
      </c>
      <c r="D587" s="2">
        <v>5.9400000000000001E-2</v>
      </c>
      <c r="E587" s="3">
        <v>1</v>
      </c>
      <c r="F587" s="2">
        <v>0.12</v>
      </c>
      <c r="G587" s="2">
        <v>0</v>
      </c>
      <c r="H587" s="2">
        <v>0</v>
      </c>
      <c r="I587" s="2">
        <v>0</v>
      </c>
      <c r="J587" s="2">
        <v>2.1499999999999998E-2</v>
      </c>
      <c r="K587" s="2">
        <v>0.24</v>
      </c>
      <c r="L587" s="4">
        <v>0.95</v>
      </c>
      <c r="M587" s="15"/>
    </row>
    <row r="588" spans="1:13" hidden="1" x14ac:dyDescent="0.25">
      <c r="A588" s="5">
        <v>45566</v>
      </c>
      <c r="B588" s="1" t="s">
        <v>26</v>
      </c>
      <c r="C588" s="1" t="s">
        <v>24</v>
      </c>
      <c r="D588" s="2">
        <v>2.3099999999999999E-2</v>
      </c>
      <c r="E588" s="3">
        <v>2.4</v>
      </c>
      <c r="F588" s="2">
        <v>9.9999000000000002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  <c r="L588" s="4">
        <v>0.95</v>
      </c>
      <c r="M588" s="15"/>
    </row>
    <row r="589" spans="1:13" hidden="1" x14ac:dyDescent="0.25">
      <c r="A589" s="5">
        <v>45566</v>
      </c>
      <c r="B589" s="1" t="s">
        <v>26</v>
      </c>
      <c r="C589" s="1" t="s">
        <v>25</v>
      </c>
      <c r="D589" s="2">
        <v>5.0900000000000001E-2</v>
      </c>
      <c r="E589" s="3">
        <v>1</v>
      </c>
      <c r="F589" s="2">
        <v>0.1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  <c r="L589" s="4">
        <v>0.95</v>
      </c>
      <c r="M589" s="15"/>
    </row>
    <row r="590" spans="1:13" hidden="1" x14ac:dyDescent="0.25">
      <c r="A590" s="5">
        <v>45566</v>
      </c>
      <c r="B590" s="1" t="s">
        <v>26</v>
      </c>
      <c r="C590" s="1" t="s">
        <v>13</v>
      </c>
      <c r="D590" s="2">
        <v>5.28E-2</v>
      </c>
      <c r="E590" s="3">
        <v>1</v>
      </c>
      <c r="F590" s="2">
        <v>0.1</v>
      </c>
      <c r="G590" s="2">
        <v>0</v>
      </c>
      <c r="H590" s="2">
        <v>0</v>
      </c>
      <c r="I590" s="2">
        <v>0</v>
      </c>
      <c r="J590" s="2">
        <v>0</v>
      </c>
      <c r="K590" s="2">
        <v>0</v>
      </c>
      <c r="L590" s="4">
        <v>0.95</v>
      </c>
      <c r="M590" s="15"/>
    </row>
    <row r="591" spans="1:13" hidden="1" x14ac:dyDescent="0.25">
      <c r="A591" s="5">
        <v>45566</v>
      </c>
      <c r="B591" s="1" t="s">
        <v>26</v>
      </c>
      <c r="C591" s="1" t="s">
        <v>17</v>
      </c>
      <c r="D591" s="2">
        <v>3.4299999999999997E-2</v>
      </c>
      <c r="E591" s="3">
        <v>1</v>
      </c>
      <c r="F591" s="2">
        <v>9.9999000000000002</v>
      </c>
      <c r="G591" s="2">
        <v>0</v>
      </c>
      <c r="H591" s="2">
        <v>0</v>
      </c>
      <c r="I591" s="2">
        <v>0.08</v>
      </c>
      <c r="J591" s="2">
        <v>0</v>
      </c>
      <c r="K591" s="2">
        <v>0</v>
      </c>
      <c r="L591" s="4">
        <v>0.95</v>
      </c>
      <c r="M591" s="15"/>
    </row>
    <row r="592" spans="1:13" hidden="1" x14ac:dyDescent="0.25">
      <c r="A592" s="5">
        <v>45566</v>
      </c>
      <c r="B592" s="1" t="s">
        <v>26</v>
      </c>
      <c r="C592" s="1" t="s">
        <v>21</v>
      </c>
      <c r="D592" s="2">
        <v>5.9400000000000001E-2</v>
      </c>
      <c r="E592" s="3">
        <v>1</v>
      </c>
      <c r="F592" s="2">
        <v>0.12</v>
      </c>
      <c r="G592" s="2">
        <v>0</v>
      </c>
      <c r="H592" s="2">
        <v>0</v>
      </c>
      <c r="I592" s="2">
        <v>0</v>
      </c>
      <c r="J592" s="2">
        <v>4.1500000000000002E-2</v>
      </c>
      <c r="K592" s="2">
        <v>0.6</v>
      </c>
      <c r="L592" s="4">
        <v>0.95</v>
      </c>
      <c r="M592" s="15"/>
    </row>
    <row r="593" spans="1:13" hidden="1" x14ac:dyDescent="0.25">
      <c r="A593" s="5">
        <v>45566</v>
      </c>
      <c r="B593" s="1" t="s">
        <v>26</v>
      </c>
      <c r="C593" s="1" t="s">
        <v>22</v>
      </c>
      <c r="D593" s="2">
        <v>5.9400000000000001E-2</v>
      </c>
      <c r="E593" s="3">
        <v>1</v>
      </c>
      <c r="F593" s="2">
        <v>0.12</v>
      </c>
      <c r="G593" s="2">
        <v>0</v>
      </c>
      <c r="H593" s="2">
        <v>0</v>
      </c>
      <c r="I593" s="2">
        <v>0</v>
      </c>
      <c r="J593" s="2">
        <v>2.1499999999999998E-2</v>
      </c>
      <c r="K593" s="2">
        <v>0.24</v>
      </c>
      <c r="L593" s="4">
        <v>0.95</v>
      </c>
      <c r="M593" s="15"/>
    </row>
    <row r="594" spans="1:13" hidden="1" x14ac:dyDescent="0.25">
      <c r="A594" s="5">
        <v>45566</v>
      </c>
      <c r="B594" s="1" t="s">
        <v>27</v>
      </c>
      <c r="C594" s="1" t="s">
        <v>13</v>
      </c>
      <c r="D594" s="2">
        <v>4.9799999999999997E-2</v>
      </c>
      <c r="E594" s="3">
        <v>1</v>
      </c>
      <c r="F594" s="2">
        <v>9.2499999999999999E-2</v>
      </c>
      <c r="G594" s="2">
        <v>0</v>
      </c>
      <c r="H594" s="2">
        <v>0</v>
      </c>
      <c r="I594" s="2">
        <v>0</v>
      </c>
      <c r="J594" s="2">
        <v>0</v>
      </c>
      <c r="K594" s="2">
        <v>0</v>
      </c>
      <c r="L594" s="4">
        <v>0.95</v>
      </c>
      <c r="M594" s="15"/>
    </row>
    <row r="595" spans="1:13" hidden="1" x14ac:dyDescent="0.25">
      <c r="A595" s="5">
        <v>45566</v>
      </c>
      <c r="B595" s="1" t="s">
        <v>27</v>
      </c>
      <c r="C595" s="1" t="s">
        <v>17</v>
      </c>
      <c r="D595" s="2">
        <v>0.03</v>
      </c>
      <c r="E595" s="3">
        <v>1</v>
      </c>
      <c r="F595" s="2">
        <v>9.9999000000000002</v>
      </c>
      <c r="G595" s="2">
        <v>0</v>
      </c>
      <c r="H595" s="2">
        <v>0</v>
      </c>
      <c r="I595" s="2">
        <v>0.09</v>
      </c>
      <c r="J595" s="2">
        <v>0</v>
      </c>
      <c r="K595" s="2">
        <v>0</v>
      </c>
      <c r="L595" s="4">
        <v>0.95</v>
      </c>
      <c r="M595" s="15"/>
    </row>
    <row r="596" spans="1:13" hidden="1" x14ac:dyDescent="0.25">
      <c r="A596" s="5">
        <v>45566</v>
      </c>
      <c r="B596" s="1" t="s">
        <v>27</v>
      </c>
      <c r="C596" s="1" t="s">
        <v>24</v>
      </c>
      <c r="D596" s="2">
        <v>2.3099999999999999E-2</v>
      </c>
      <c r="E596" s="3">
        <v>2.2000000000000002</v>
      </c>
      <c r="F596" s="2">
        <v>9.9999000000000002</v>
      </c>
      <c r="G596" s="2">
        <v>0</v>
      </c>
      <c r="H596" s="2">
        <v>0</v>
      </c>
      <c r="I596" s="2">
        <v>0</v>
      </c>
      <c r="J596" s="2">
        <v>0</v>
      </c>
      <c r="K596" s="2">
        <v>0</v>
      </c>
      <c r="L596" s="4">
        <v>0.95</v>
      </c>
      <c r="M596" s="15"/>
    </row>
    <row r="597" spans="1:13" hidden="1" x14ac:dyDescent="0.25">
      <c r="A597" s="5">
        <v>45566</v>
      </c>
      <c r="B597" s="1" t="s">
        <v>27</v>
      </c>
      <c r="C597" s="1" t="s">
        <v>25</v>
      </c>
      <c r="D597" s="2">
        <v>4.6800000000000001E-2</v>
      </c>
      <c r="E597" s="3">
        <v>1</v>
      </c>
      <c r="F597" s="2">
        <v>9.2499999999999999E-2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4">
        <v>0.95</v>
      </c>
      <c r="M597" s="15"/>
    </row>
    <row r="598" spans="1:13" hidden="1" x14ac:dyDescent="0.25">
      <c r="A598" s="5">
        <v>45566</v>
      </c>
      <c r="B598" s="1" t="s">
        <v>30</v>
      </c>
      <c r="C598" s="1" t="s">
        <v>13</v>
      </c>
      <c r="D598" s="2">
        <v>5.0799999999999998E-2</v>
      </c>
      <c r="E598" s="3">
        <v>1</v>
      </c>
      <c r="F598" s="2">
        <v>9.5000000000000001E-2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4">
        <v>0.95</v>
      </c>
      <c r="M598" s="15"/>
    </row>
    <row r="599" spans="1:13" hidden="1" x14ac:dyDescent="0.25">
      <c r="A599" s="5">
        <v>45566</v>
      </c>
      <c r="B599" s="1" t="s">
        <v>30</v>
      </c>
      <c r="C599" s="1" t="s">
        <v>17</v>
      </c>
      <c r="D599" s="2">
        <v>0.03</v>
      </c>
      <c r="E599" s="3">
        <v>1</v>
      </c>
      <c r="F599" s="2">
        <v>9.9999000000000002</v>
      </c>
      <c r="G599" s="2">
        <v>0</v>
      </c>
      <c r="H599" s="2">
        <v>0</v>
      </c>
      <c r="I599" s="2">
        <v>0.09</v>
      </c>
      <c r="J599" s="2">
        <v>0</v>
      </c>
      <c r="K599" s="2">
        <v>0</v>
      </c>
      <c r="L599" s="4">
        <v>0.95</v>
      </c>
      <c r="M599" s="15"/>
    </row>
    <row r="600" spans="1:13" hidden="1" x14ac:dyDescent="0.25">
      <c r="A600" s="5">
        <v>45566</v>
      </c>
      <c r="B600" s="1" t="s">
        <v>30</v>
      </c>
      <c r="C600" s="1" t="s">
        <v>24</v>
      </c>
      <c r="D600" s="2">
        <v>2.3099999999999999E-2</v>
      </c>
      <c r="E600" s="3">
        <v>2.2000000000000002</v>
      </c>
      <c r="F600" s="2">
        <v>9.9999000000000002</v>
      </c>
      <c r="G600" s="2">
        <v>0</v>
      </c>
      <c r="H600" s="2">
        <v>0</v>
      </c>
      <c r="I600" s="2">
        <v>0</v>
      </c>
      <c r="J600" s="2">
        <v>0</v>
      </c>
      <c r="K600" s="2">
        <v>0</v>
      </c>
      <c r="L600" s="4">
        <v>0.95</v>
      </c>
      <c r="M600" s="15"/>
    </row>
    <row r="601" spans="1:13" hidden="1" x14ac:dyDescent="0.25">
      <c r="A601" s="5">
        <v>45566</v>
      </c>
      <c r="B601" s="1" t="s">
        <v>30</v>
      </c>
      <c r="C601" s="1" t="s">
        <v>25</v>
      </c>
      <c r="D601" s="2">
        <v>4.7800000000000002E-2</v>
      </c>
      <c r="E601" s="3">
        <v>1</v>
      </c>
      <c r="F601" s="2">
        <v>9.5000000000000001E-2</v>
      </c>
      <c r="G601" s="2">
        <v>0</v>
      </c>
      <c r="H601" s="2">
        <v>0</v>
      </c>
      <c r="I601" s="2">
        <v>0</v>
      </c>
      <c r="J601" s="2">
        <v>0</v>
      </c>
      <c r="K601" s="2">
        <v>0</v>
      </c>
      <c r="L601" s="4">
        <v>0.95</v>
      </c>
      <c r="M601" s="15"/>
    </row>
    <row r="602" spans="1:13" hidden="1" x14ac:dyDescent="0.25">
      <c r="A602" s="5">
        <v>45566</v>
      </c>
      <c r="B602" s="1" t="s">
        <v>28</v>
      </c>
      <c r="C602" s="1" t="s">
        <v>13</v>
      </c>
      <c r="D602" s="2">
        <v>4.6699999999999998E-2</v>
      </c>
      <c r="E602" s="3">
        <v>1</v>
      </c>
      <c r="F602" s="2">
        <v>8.5000000000000006E-2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4">
        <v>0.95</v>
      </c>
      <c r="M602" s="15"/>
    </row>
    <row r="603" spans="1:13" hidden="1" x14ac:dyDescent="0.25">
      <c r="A603" s="5">
        <v>45566</v>
      </c>
      <c r="B603" s="1" t="s">
        <v>28</v>
      </c>
      <c r="C603" s="1" t="s">
        <v>16</v>
      </c>
      <c r="D603" s="2">
        <v>3.0300000000000001E-2</v>
      </c>
      <c r="E603" s="3">
        <v>1</v>
      </c>
      <c r="F603" s="2">
        <v>7.0000000000000007E-2</v>
      </c>
      <c r="G603" s="2">
        <v>1.4999999999999999E-2</v>
      </c>
      <c r="H603" s="2">
        <v>0</v>
      </c>
      <c r="I603" s="2">
        <v>0</v>
      </c>
      <c r="J603" s="2">
        <v>0</v>
      </c>
      <c r="K603" s="2">
        <v>0</v>
      </c>
      <c r="L603" s="4">
        <v>0.95</v>
      </c>
      <c r="M603" s="15"/>
    </row>
    <row r="604" spans="1:13" hidden="1" x14ac:dyDescent="0.25">
      <c r="A604" s="5">
        <v>45566</v>
      </c>
      <c r="B604" s="1" t="s">
        <v>28</v>
      </c>
      <c r="C604" s="1" t="s">
        <v>17</v>
      </c>
      <c r="D604" s="2">
        <v>3.5400000000000001E-2</v>
      </c>
      <c r="E604" s="3">
        <v>1</v>
      </c>
      <c r="F604" s="2">
        <v>9.9999000000000002</v>
      </c>
      <c r="G604" s="2">
        <v>0</v>
      </c>
      <c r="H604" s="2">
        <v>0</v>
      </c>
      <c r="I604" s="2">
        <v>7.7499999999999999E-2</v>
      </c>
      <c r="J604" s="2">
        <v>0</v>
      </c>
      <c r="K604" s="2">
        <v>0</v>
      </c>
      <c r="L604" s="4">
        <v>0.95</v>
      </c>
      <c r="M604" s="15"/>
    </row>
    <row r="605" spans="1:13" hidden="1" x14ac:dyDescent="0.25">
      <c r="A605" s="5">
        <v>45566</v>
      </c>
      <c r="B605" s="1" t="s">
        <v>28</v>
      </c>
      <c r="C605" s="1" t="s">
        <v>18</v>
      </c>
      <c r="D605" s="2">
        <v>4.5199999999999997E-2</v>
      </c>
      <c r="E605" s="3">
        <v>1</v>
      </c>
      <c r="F605" s="2">
        <v>9.9999000000000002</v>
      </c>
      <c r="G605" s="2">
        <v>0</v>
      </c>
      <c r="H605" s="2">
        <v>6.5000000000000002E-2</v>
      </c>
      <c r="I605" s="2">
        <v>0</v>
      </c>
      <c r="J605" s="2">
        <v>0</v>
      </c>
      <c r="K605" s="2">
        <v>0</v>
      </c>
      <c r="L605" s="4">
        <v>0.95</v>
      </c>
      <c r="M605" s="15"/>
    </row>
    <row r="606" spans="1:13" hidden="1" x14ac:dyDescent="0.25">
      <c r="A606" s="5">
        <v>45566</v>
      </c>
      <c r="B606" s="1" t="s">
        <v>29</v>
      </c>
      <c r="C606" s="1" t="s">
        <v>13</v>
      </c>
      <c r="D606" s="2">
        <v>4.3400000000000001E-2</v>
      </c>
      <c r="E606" s="3">
        <v>1</v>
      </c>
      <c r="F606" s="2">
        <v>7.7499999999999999E-2</v>
      </c>
      <c r="G606" s="2">
        <v>0</v>
      </c>
      <c r="H606" s="2">
        <v>0</v>
      </c>
      <c r="I606" s="2">
        <v>0</v>
      </c>
      <c r="J606" s="2">
        <v>0</v>
      </c>
      <c r="K606" s="2">
        <v>0</v>
      </c>
      <c r="L606" s="4">
        <v>0.95</v>
      </c>
      <c r="M606" s="15"/>
    </row>
    <row r="607" spans="1:13" hidden="1" x14ac:dyDescent="0.25">
      <c r="A607" s="5">
        <v>45566</v>
      </c>
      <c r="B607" s="1" t="s">
        <v>29</v>
      </c>
      <c r="C607" s="1" t="s">
        <v>16</v>
      </c>
      <c r="D607" s="2">
        <v>2.4199999999999999E-2</v>
      </c>
      <c r="E607" s="3">
        <v>1</v>
      </c>
      <c r="F607" s="2">
        <v>5.7500000000000002E-2</v>
      </c>
      <c r="G607" s="2">
        <v>1.4999999999999999E-2</v>
      </c>
      <c r="H607" s="2">
        <v>0</v>
      </c>
      <c r="I607" s="2">
        <v>0</v>
      </c>
      <c r="J607" s="2">
        <v>0</v>
      </c>
      <c r="K607" s="2">
        <v>0</v>
      </c>
      <c r="L607" s="4">
        <v>0.95</v>
      </c>
      <c r="M607" s="15"/>
    </row>
    <row r="608" spans="1:13" hidden="1" x14ac:dyDescent="0.25">
      <c r="A608" s="5">
        <v>45566</v>
      </c>
      <c r="B608" s="1" t="s">
        <v>29</v>
      </c>
      <c r="C608" s="1" t="s">
        <v>17</v>
      </c>
      <c r="D608" s="2">
        <v>3.1199999999999999E-2</v>
      </c>
      <c r="E608" s="3">
        <v>1</v>
      </c>
      <c r="F608" s="2">
        <v>9.9999000000000002</v>
      </c>
      <c r="G608" s="2">
        <v>0</v>
      </c>
      <c r="H608" s="2">
        <v>0</v>
      </c>
      <c r="I608" s="2">
        <v>8.6999999999999994E-2</v>
      </c>
      <c r="J608" s="2">
        <v>0</v>
      </c>
      <c r="K608" s="2">
        <v>0</v>
      </c>
      <c r="L608" s="4">
        <v>0.95</v>
      </c>
      <c r="M608" s="15"/>
    </row>
    <row r="609" spans="1:13" hidden="1" x14ac:dyDescent="0.25">
      <c r="A609" s="5">
        <v>45566</v>
      </c>
      <c r="B609" s="1" t="s">
        <v>29</v>
      </c>
      <c r="C609" s="1" t="s">
        <v>18</v>
      </c>
      <c r="D609" s="2">
        <v>3.9600000000000003E-2</v>
      </c>
      <c r="E609" s="3">
        <v>1</v>
      </c>
      <c r="F609" s="2">
        <v>9.9999000000000002</v>
      </c>
      <c r="G609" s="2">
        <v>0</v>
      </c>
      <c r="H609" s="2">
        <v>5.7000000000000002E-2</v>
      </c>
      <c r="I609" s="2">
        <v>0</v>
      </c>
      <c r="J609" s="2">
        <v>0</v>
      </c>
      <c r="K609" s="2">
        <v>0</v>
      </c>
      <c r="L609" s="4">
        <v>0.95</v>
      </c>
      <c r="M609" s="15"/>
    </row>
    <row r="610" spans="1:13" hidden="1" x14ac:dyDescent="0.25">
      <c r="A610" s="5">
        <v>45597</v>
      </c>
      <c r="B610" s="1" t="s">
        <v>12</v>
      </c>
      <c r="C610" s="1" t="s">
        <v>13</v>
      </c>
      <c r="D610" s="2">
        <v>5.3499999999999999E-2</v>
      </c>
      <c r="E610" s="3">
        <v>1</v>
      </c>
      <c r="F610" s="2">
        <v>9.7500000000000003E-2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  <c r="L610" s="4">
        <v>0.95</v>
      </c>
      <c r="M610" s="15"/>
    </row>
    <row r="611" spans="1:13" hidden="1" x14ac:dyDescent="0.25">
      <c r="A611" s="5">
        <v>45597</v>
      </c>
      <c r="B611" s="1" t="s">
        <v>15</v>
      </c>
      <c r="C611" s="1" t="s">
        <v>13</v>
      </c>
      <c r="D611" s="2">
        <v>5.3499999999999999E-2</v>
      </c>
      <c r="E611" s="3">
        <v>1</v>
      </c>
      <c r="F611" s="2">
        <v>9.7500000000000003E-2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  <c r="L611" s="4">
        <v>0.95</v>
      </c>
      <c r="M611" s="15"/>
    </row>
    <row r="612" spans="1:13" hidden="1" x14ac:dyDescent="0.25">
      <c r="A612" s="5">
        <v>45597</v>
      </c>
      <c r="B612" s="1" t="s">
        <v>15</v>
      </c>
      <c r="C612" s="1" t="s">
        <v>16</v>
      </c>
      <c r="D612" s="2">
        <v>3.8300000000000001E-2</v>
      </c>
      <c r="E612" s="3">
        <v>1</v>
      </c>
      <c r="F612" s="2">
        <v>8.5000000000000006E-2</v>
      </c>
      <c r="G612" s="2">
        <v>1.4999999999999999E-2</v>
      </c>
      <c r="H612" s="2">
        <v>0</v>
      </c>
      <c r="I612" s="2">
        <v>0</v>
      </c>
      <c r="J612" s="2">
        <v>0</v>
      </c>
      <c r="K612" s="2">
        <v>0</v>
      </c>
      <c r="L612" s="4">
        <v>0.95</v>
      </c>
      <c r="M612" s="15"/>
    </row>
    <row r="613" spans="1:13" hidden="1" x14ac:dyDescent="0.25">
      <c r="A613" s="5">
        <v>45597</v>
      </c>
      <c r="B613" s="1" t="s">
        <v>15</v>
      </c>
      <c r="C613" s="1" t="s">
        <v>17</v>
      </c>
      <c r="D613" s="2">
        <v>3.5999999999999997E-2</v>
      </c>
      <c r="E613" s="3">
        <v>1</v>
      </c>
      <c r="F613" s="2">
        <v>9.9999000000000002</v>
      </c>
      <c r="G613" s="2">
        <v>0</v>
      </c>
      <c r="H613" s="2">
        <v>0</v>
      </c>
      <c r="I613" s="2">
        <v>0.08</v>
      </c>
      <c r="J613" s="2">
        <v>0</v>
      </c>
      <c r="K613" s="2">
        <v>0</v>
      </c>
      <c r="L613" s="4">
        <v>0.95</v>
      </c>
      <c r="M613" s="15"/>
    </row>
    <row r="614" spans="1:13" hidden="1" x14ac:dyDescent="0.25">
      <c r="A614" s="5">
        <v>45597</v>
      </c>
      <c r="B614" s="1" t="s">
        <v>15</v>
      </c>
      <c r="C614" s="1" t="s">
        <v>18</v>
      </c>
      <c r="D614" s="2">
        <v>5.28E-2</v>
      </c>
      <c r="E614" s="3">
        <v>1</v>
      </c>
      <c r="F614" s="2">
        <v>9.9999000000000002</v>
      </c>
      <c r="G614" s="2">
        <v>0</v>
      </c>
      <c r="H614" s="2">
        <v>7.4999999999999997E-2</v>
      </c>
      <c r="I614" s="2">
        <v>0</v>
      </c>
      <c r="J614" s="2">
        <v>0</v>
      </c>
      <c r="K614" s="2">
        <v>0</v>
      </c>
      <c r="L614" s="4">
        <v>0.95</v>
      </c>
      <c r="M614" s="15"/>
    </row>
    <row r="615" spans="1:13" hidden="1" x14ac:dyDescent="0.25">
      <c r="A615" s="5">
        <v>45597</v>
      </c>
      <c r="B615" s="1" t="s">
        <v>19</v>
      </c>
      <c r="C615" s="1" t="s">
        <v>13</v>
      </c>
      <c r="D615" s="2">
        <v>4.24E-2</v>
      </c>
      <c r="E615" s="3">
        <v>1</v>
      </c>
      <c r="F615" s="2">
        <v>7.2499999999999995E-2</v>
      </c>
      <c r="G615" s="2">
        <v>0</v>
      </c>
      <c r="H615" s="2">
        <v>0</v>
      </c>
      <c r="I615" s="2">
        <v>0</v>
      </c>
      <c r="J615" s="2">
        <v>0</v>
      </c>
      <c r="K615" s="2">
        <v>0</v>
      </c>
      <c r="L615" s="4">
        <v>0.95</v>
      </c>
      <c r="M615" s="15"/>
    </row>
    <row r="616" spans="1:13" hidden="1" x14ac:dyDescent="0.25">
      <c r="A616" s="5">
        <v>45597</v>
      </c>
      <c r="B616" s="1" t="s">
        <v>19</v>
      </c>
      <c r="C616" s="1" t="s">
        <v>16</v>
      </c>
      <c r="D616" s="2">
        <v>2.63E-2</v>
      </c>
      <c r="E616" s="3">
        <v>1</v>
      </c>
      <c r="F616" s="2">
        <v>0.06</v>
      </c>
      <c r="G616" s="2">
        <v>1.4999999999999999E-2</v>
      </c>
      <c r="H616" s="2">
        <v>0</v>
      </c>
      <c r="I616" s="2">
        <v>0</v>
      </c>
      <c r="J616" s="2">
        <v>0</v>
      </c>
      <c r="K616" s="2">
        <v>0</v>
      </c>
      <c r="L616" s="4">
        <v>0.95</v>
      </c>
      <c r="M616" s="15"/>
    </row>
    <row r="617" spans="1:13" hidden="1" x14ac:dyDescent="0.25">
      <c r="A617" s="5">
        <v>45597</v>
      </c>
      <c r="B617" s="1" t="s">
        <v>19</v>
      </c>
      <c r="C617" s="1" t="s">
        <v>17</v>
      </c>
      <c r="D617" s="2">
        <v>3.1399999999999997E-2</v>
      </c>
      <c r="E617" s="3">
        <v>1</v>
      </c>
      <c r="F617" s="2">
        <v>9.9999000000000002</v>
      </c>
      <c r="G617" s="2">
        <v>0</v>
      </c>
      <c r="H617" s="2">
        <v>0</v>
      </c>
      <c r="I617" s="2">
        <v>0.09</v>
      </c>
      <c r="J617" s="2">
        <v>0</v>
      </c>
      <c r="K617" s="2">
        <v>0</v>
      </c>
      <c r="L617" s="4">
        <v>0.95</v>
      </c>
      <c r="M617" s="15"/>
    </row>
    <row r="618" spans="1:13" hidden="1" x14ac:dyDescent="0.25">
      <c r="A618" s="5">
        <v>45597</v>
      </c>
      <c r="B618" s="1" t="s">
        <v>19</v>
      </c>
      <c r="C618" s="1" t="s">
        <v>18</v>
      </c>
      <c r="D618" s="2">
        <v>4.2200000000000001E-2</v>
      </c>
      <c r="E618" s="3">
        <v>1</v>
      </c>
      <c r="F618" s="2">
        <v>9.9999000000000002</v>
      </c>
      <c r="G618" s="2">
        <v>0</v>
      </c>
      <c r="H618" s="2">
        <v>0.06</v>
      </c>
      <c r="I618" s="2">
        <v>0</v>
      </c>
      <c r="J618" s="2">
        <v>0</v>
      </c>
      <c r="K618" s="2">
        <v>0</v>
      </c>
      <c r="L618" s="4">
        <v>0.95</v>
      </c>
      <c r="M618" s="15"/>
    </row>
    <row r="619" spans="1:13" hidden="1" x14ac:dyDescent="0.25">
      <c r="A619" s="5">
        <v>45597</v>
      </c>
      <c r="B619" s="1" t="s">
        <v>20</v>
      </c>
      <c r="C619" s="1" t="s">
        <v>13</v>
      </c>
      <c r="D619" s="2">
        <v>5.3499999999999999E-2</v>
      </c>
      <c r="E619" s="3">
        <v>1</v>
      </c>
      <c r="F619" s="2">
        <v>9.7500000000000003E-2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4">
        <v>0.95</v>
      </c>
      <c r="M619" s="15"/>
    </row>
    <row r="620" spans="1:13" hidden="1" x14ac:dyDescent="0.25">
      <c r="A620" s="5">
        <v>45597</v>
      </c>
      <c r="B620" s="1" t="s">
        <v>20</v>
      </c>
      <c r="C620" s="1" t="s">
        <v>17</v>
      </c>
      <c r="D620" s="2">
        <v>3.5999999999999997E-2</v>
      </c>
      <c r="E620" s="3">
        <v>1</v>
      </c>
      <c r="F620" s="2">
        <v>9.9999000000000002</v>
      </c>
      <c r="G620" s="2">
        <v>0</v>
      </c>
      <c r="H620" s="2">
        <v>0</v>
      </c>
      <c r="I620" s="2">
        <v>0.08</v>
      </c>
      <c r="J620" s="2">
        <v>0</v>
      </c>
      <c r="K620" s="2">
        <v>0</v>
      </c>
      <c r="L620" s="4">
        <v>0.95</v>
      </c>
      <c r="M620" s="15"/>
    </row>
    <row r="621" spans="1:13" hidden="1" x14ac:dyDescent="0.25">
      <c r="A621" s="5">
        <v>45597</v>
      </c>
      <c r="B621" s="1" t="s">
        <v>20</v>
      </c>
      <c r="C621" s="1" t="s">
        <v>21</v>
      </c>
      <c r="D621" s="2">
        <v>6.1199999999999997E-2</v>
      </c>
      <c r="E621" s="3">
        <v>1</v>
      </c>
      <c r="F621" s="2">
        <v>0.12</v>
      </c>
      <c r="G621" s="2">
        <v>0</v>
      </c>
      <c r="H621" s="2">
        <v>0</v>
      </c>
      <c r="I621" s="2">
        <v>0</v>
      </c>
      <c r="J621" s="2">
        <v>4.1500000000000002E-2</v>
      </c>
      <c r="K621" s="2">
        <v>0.6</v>
      </c>
      <c r="L621" s="4">
        <v>0.95</v>
      </c>
      <c r="M621" s="15"/>
    </row>
    <row r="622" spans="1:13" hidden="1" x14ac:dyDescent="0.25">
      <c r="A622" s="5">
        <v>45597</v>
      </c>
      <c r="B622" s="1" t="s">
        <v>20</v>
      </c>
      <c r="C622" s="1" t="s">
        <v>22</v>
      </c>
      <c r="D622" s="2">
        <v>6.1199999999999997E-2</v>
      </c>
      <c r="E622" s="3">
        <v>1</v>
      </c>
      <c r="F622" s="2">
        <v>0.12</v>
      </c>
      <c r="G622" s="2">
        <v>0</v>
      </c>
      <c r="H622" s="2">
        <v>0</v>
      </c>
      <c r="I622" s="2">
        <v>0</v>
      </c>
      <c r="J622" s="2">
        <v>2.1499999999999998E-2</v>
      </c>
      <c r="K622" s="2">
        <v>0.24</v>
      </c>
      <c r="L622" s="4">
        <v>0.95</v>
      </c>
      <c r="M622" s="15"/>
    </row>
    <row r="623" spans="1:13" x14ac:dyDescent="0.25">
      <c r="A623" s="5">
        <v>45597</v>
      </c>
      <c r="B623" s="1" t="s">
        <v>23</v>
      </c>
      <c r="C623" s="1" t="s">
        <v>24</v>
      </c>
      <c r="D623" s="2">
        <v>2.3599999999999999E-2</v>
      </c>
      <c r="E623" s="3">
        <v>2.4</v>
      </c>
      <c r="F623" s="2">
        <v>9.9999000000000002</v>
      </c>
      <c r="G623" s="2">
        <v>0</v>
      </c>
      <c r="H623" s="2">
        <v>0</v>
      </c>
      <c r="I623" s="2">
        <v>0</v>
      </c>
      <c r="J623" s="2">
        <v>0</v>
      </c>
      <c r="K623" s="2">
        <v>0</v>
      </c>
      <c r="L623" s="4">
        <v>0.95</v>
      </c>
      <c r="M623" s="15"/>
    </row>
    <row r="624" spans="1:13" x14ac:dyDescent="0.25">
      <c r="A624" s="5">
        <v>45597</v>
      </c>
      <c r="B624" s="1" t="s">
        <v>23</v>
      </c>
      <c r="C624" s="1" t="s">
        <v>25</v>
      </c>
      <c r="D624" s="2">
        <v>5.2999999999999999E-2</v>
      </c>
      <c r="E624" s="3">
        <v>1</v>
      </c>
      <c r="F624" s="2">
        <v>0.10249999999999999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4">
        <v>0.95</v>
      </c>
      <c r="M624" s="15"/>
    </row>
    <row r="625" spans="1:13" hidden="1" x14ac:dyDescent="0.25">
      <c r="A625" s="5">
        <v>45597</v>
      </c>
      <c r="B625" s="1" t="s">
        <v>23</v>
      </c>
      <c r="C625" s="1" t="s">
        <v>13</v>
      </c>
      <c r="D625" s="2">
        <v>5.5399999999999998E-2</v>
      </c>
      <c r="E625" s="3">
        <v>1</v>
      </c>
      <c r="F625" s="2">
        <v>0.10249999999999999</v>
      </c>
      <c r="G625" s="2">
        <v>0</v>
      </c>
      <c r="H625" s="2">
        <v>0</v>
      </c>
      <c r="I625" s="2">
        <v>0</v>
      </c>
      <c r="J625" s="2">
        <v>0</v>
      </c>
      <c r="K625" s="2">
        <v>0</v>
      </c>
      <c r="L625" s="4">
        <v>0.95</v>
      </c>
      <c r="M625" s="15"/>
    </row>
    <row r="626" spans="1:13" hidden="1" x14ac:dyDescent="0.25">
      <c r="A626" s="5">
        <v>45597</v>
      </c>
      <c r="B626" s="1" t="s">
        <v>23</v>
      </c>
      <c r="C626" s="1" t="s">
        <v>17</v>
      </c>
      <c r="D626" s="2">
        <v>3.5999999999999997E-2</v>
      </c>
      <c r="E626" s="3">
        <v>1</v>
      </c>
      <c r="F626" s="2">
        <v>9.9999000000000002</v>
      </c>
      <c r="G626" s="2">
        <v>0</v>
      </c>
      <c r="H626" s="2">
        <v>0</v>
      </c>
      <c r="I626" s="2">
        <v>0.08</v>
      </c>
      <c r="J626" s="2">
        <v>0</v>
      </c>
      <c r="K626" s="2">
        <v>0</v>
      </c>
      <c r="L626" s="4">
        <v>0.95</v>
      </c>
      <c r="M626" s="15"/>
    </row>
    <row r="627" spans="1:13" hidden="1" x14ac:dyDescent="0.25">
      <c r="A627" s="5">
        <v>45597</v>
      </c>
      <c r="B627" s="1" t="s">
        <v>23</v>
      </c>
      <c r="C627" s="1" t="s">
        <v>21</v>
      </c>
      <c r="D627" s="2">
        <v>6.1199999999999997E-2</v>
      </c>
      <c r="E627" s="3">
        <v>1</v>
      </c>
      <c r="F627" s="2">
        <v>0.12</v>
      </c>
      <c r="G627" s="2">
        <v>0</v>
      </c>
      <c r="H627" s="2">
        <v>0</v>
      </c>
      <c r="I627" s="2">
        <v>0</v>
      </c>
      <c r="J627" s="2">
        <v>4.1500000000000002E-2</v>
      </c>
      <c r="K627" s="2">
        <v>0.6</v>
      </c>
      <c r="L627" s="4">
        <v>0.95</v>
      </c>
      <c r="M627" s="15"/>
    </row>
    <row r="628" spans="1:13" hidden="1" x14ac:dyDescent="0.25">
      <c r="A628" s="5">
        <v>45597</v>
      </c>
      <c r="B628" s="1" t="s">
        <v>23</v>
      </c>
      <c r="C628" s="1" t="s">
        <v>22</v>
      </c>
      <c r="D628" s="2">
        <v>6.1199999999999997E-2</v>
      </c>
      <c r="E628" s="3">
        <v>1</v>
      </c>
      <c r="F628" s="2">
        <v>0.12</v>
      </c>
      <c r="G628" s="2">
        <v>0</v>
      </c>
      <c r="H628" s="2">
        <v>0</v>
      </c>
      <c r="I628" s="2">
        <v>0</v>
      </c>
      <c r="J628" s="2">
        <v>2.1499999999999998E-2</v>
      </c>
      <c r="K628" s="2">
        <v>0.24</v>
      </c>
      <c r="L628" s="4">
        <v>0.95</v>
      </c>
      <c r="M628" s="15"/>
    </row>
    <row r="629" spans="1:13" x14ac:dyDescent="0.25">
      <c r="A629" s="5">
        <v>45597</v>
      </c>
      <c r="B629" s="1" t="s">
        <v>26</v>
      </c>
      <c r="C629" s="1" t="s">
        <v>24</v>
      </c>
      <c r="D629" s="2">
        <v>2.3599999999999999E-2</v>
      </c>
      <c r="E629" s="3">
        <v>2.4</v>
      </c>
      <c r="F629" s="2">
        <v>9.9999000000000002</v>
      </c>
      <c r="G629" s="2">
        <v>0</v>
      </c>
      <c r="H629" s="2">
        <v>0</v>
      </c>
      <c r="I629" s="2">
        <v>0</v>
      </c>
      <c r="J629" s="2">
        <v>0</v>
      </c>
      <c r="K629" s="2">
        <v>0</v>
      </c>
      <c r="L629" s="4">
        <v>0.95</v>
      </c>
      <c r="M629" s="15"/>
    </row>
    <row r="630" spans="1:13" x14ac:dyDescent="0.25">
      <c r="A630" s="5">
        <v>45597</v>
      </c>
      <c r="B630" s="1" t="s">
        <v>26</v>
      </c>
      <c r="C630" s="1" t="s">
        <v>25</v>
      </c>
      <c r="D630" s="2">
        <v>5.2999999999999999E-2</v>
      </c>
      <c r="E630" s="3">
        <v>1</v>
      </c>
      <c r="F630" s="2">
        <v>0.1</v>
      </c>
      <c r="G630" s="2">
        <v>0</v>
      </c>
      <c r="H630" s="2">
        <v>0</v>
      </c>
      <c r="I630" s="2">
        <v>0</v>
      </c>
      <c r="J630" s="2">
        <v>0</v>
      </c>
      <c r="K630" s="2">
        <v>0</v>
      </c>
      <c r="L630" s="4">
        <v>0.95</v>
      </c>
      <c r="M630" s="15"/>
    </row>
    <row r="631" spans="1:13" hidden="1" x14ac:dyDescent="0.25">
      <c r="A631" s="5">
        <v>45597</v>
      </c>
      <c r="B631" s="1" t="s">
        <v>26</v>
      </c>
      <c r="C631" s="1" t="s">
        <v>13</v>
      </c>
      <c r="D631" s="2">
        <v>5.45E-2</v>
      </c>
      <c r="E631" s="3">
        <v>1</v>
      </c>
      <c r="F631" s="2">
        <v>0.1</v>
      </c>
      <c r="G631" s="2">
        <v>0</v>
      </c>
      <c r="H631" s="2">
        <v>0</v>
      </c>
      <c r="I631" s="2">
        <v>0</v>
      </c>
      <c r="J631" s="2">
        <v>0</v>
      </c>
      <c r="K631" s="2">
        <v>0</v>
      </c>
      <c r="L631" s="4">
        <v>0.95</v>
      </c>
      <c r="M631" s="15"/>
    </row>
    <row r="632" spans="1:13" hidden="1" x14ac:dyDescent="0.25">
      <c r="A632" s="5">
        <v>45597</v>
      </c>
      <c r="B632" s="1" t="s">
        <v>26</v>
      </c>
      <c r="C632" s="1" t="s">
        <v>17</v>
      </c>
      <c r="D632" s="2">
        <v>3.5999999999999997E-2</v>
      </c>
      <c r="E632" s="3">
        <v>1</v>
      </c>
      <c r="F632" s="2">
        <v>9.9999000000000002</v>
      </c>
      <c r="G632" s="2">
        <v>0</v>
      </c>
      <c r="H632" s="2">
        <v>0</v>
      </c>
      <c r="I632" s="2">
        <v>0.08</v>
      </c>
      <c r="J632" s="2">
        <v>0</v>
      </c>
      <c r="K632" s="2">
        <v>0</v>
      </c>
      <c r="L632" s="4">
        <v>0.95</v>
      </c>
      <c r="M632" s="15"/>
    </row>
    <row r="633" spans="1:13" hidden="1" x14ac:dyDescent="0.25">
      <c r="A633" s="5">
        <v>45597</v>
      </c>
      <c r="B633" s="1" t="s">
        <v>26</v>
      </c>
      <c r="C633" s="1" t="s">
        <v>21</v>
      </c>
      <c r="D633" s="2">
        <v>6.1199999999999997E-2</v>
      </c>
      <c r="E633" s="3">
        <v>1</v>
      </c>
      <c r="F633" s="2">
        <v>0.12</v>
      </c>
      <c r="G633" s="2">
        <v>0</v>
      </c>
      <c r="H633" s="2">
        <v>0</v>
      </c>
      <c r="I633" s="2">
        <v>0</v>
      </c>
      <c r="J633" s="2">
        <v>4.1500000000000002E-2</v>
      </c>
      <c r="K633" s="2">
        <v>0.6</v>
      </c>
      <c r="L633" s="4">
        <v>0.95</v>
      </c>
      <c r="M633" s="15"/>
    </row>
    <row r="634" spans="1:13" hidden="1" x14ac:dyDescent="0.25">
      <c r="A634" s="5">
        <v>45597</v>
      </c>
      <c r="B634" s="1" t="s">
        <v>26</v>
      </c>
      <c r="C634" s="1" t="s">
        <v>22</v>
      </c>
      <c r="D634" s="2">
        <v>6.1199999999999997E-2</v>
      </c>
      <c r="E634" s="3">
        <v>1</v>
      </c>
      <c r="F634" s="2">
        <v>0.12</v>
      </c>
      <c r="G634" s="2">
        <v>0</v>
      </c>
      <c r="H634" s="2">
        <v>0</v>
      </c>
      <c r="I634" s="2">
        <v>0</v>
      </c>
      <c r="J634" s="2">
        <v>2.1499999999999998E-2</v>
      </c>
      <c r="K634" s="2">
        <v>0.24</v>
      </c>
      <c r="L634" s="4">
        <v>0.95</v>
      </c>
      <c r="M634" s="15"/>
    </row>
    <row r="635" spans="1:13" hidden="1" x14ac:dyDescent="0.25">
      <c r="A635" s="5">
        <v>45597</v>
      </c>
      <c r="B635" s="1" t="s">
        <v>27</v>
      </c>
      <c r="C635" s="1" t="s">
        <v>13</v>
      </c>
      <c r="D635" s="2">
        <v>5.1499999999999997E-2</v>
      </c>
      <c r="E635" s="3">
        <v>1</v>
      </c>
      <c r="F635" s="2">
        <v>9.2499999999999999E-2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4">
        <v>0.95</v>
      </c>
      <c r="M635" s="15"/>
    </row>
    <row r="636" spans="1:13" hidden="1" x14ac:dyDescent="0.25">
      <c r="A636" s="5">
        <v>45597</v>
      </c>
      <c r="B636" s="1" t="s">
        <v>27</v>
      </c>
      <c r="C636" s="1" t="s">
        <v>17</v>
      </c>
      <c r="D636" s="2">
        <v>3.1399999999999997E-2</v>
      </c>
      <c r="E636" s="3">
        <v>1</v>
      </c>
      <c r="F636" s="2">
        <v>9.9999000000000002</v>
      </c>
      <c r="G636" s="2">
        <v>0</v>
      </c>
      <c r="H636" s="2">
        <v>0</v>
      </c>
      <c r="I636" s="2">
        <v>0.09</v>
      </c>
      <c r="J636" s="2">
        <v>0</v>
      </c>
      <c r="K636" s="2">
        <v>0</v>
      </c>
      <c r="L636" s="4">
        <v>0.95</v>
      </c>
      <c r="M636" s="15"/>
    </row>
    <row r="637" spans="1:13" x14ac:dyDescent="0.25">
      <c r="A637" s="5">
        <v>45597</v>
      </c>
      <c r="B637" s="1" t="s">
        <v>27</v>
      </c>
      <c r="C637" s="1" t="s">
        <v>24</v>
      </c>
      <c r="D637" s="2">
        <v>2.3599999999999999E-2</v>
      </c>
      <c r="E637" s="3">
        <v>2.2000000000000002</v>
      </c>
      <c r="F637" s="2">
        <v>9.9999000000000002</v>
      </c>
      <c r="G637" s="2">
        <v>0</v>
      </c>
      <c r="H637" s="2">
        <v>0</v>
      </c>
      <c r="I637" s="2">
        <v>0</v>
      </c>
      <c r="J637" s="2">
        <v>0</v>
      </c>
      <c r="K637" s="2">
        <v>0</v>
      </c>
      <c r="L637" s="4">
        <v>0.95</v>
      </c>
      <c r="M637" s="15"/>
    </row>
    <row r="638" spans="1:13" x14ac:dyDescent="0.25">
      <c r="A638" s="5">
        <v>45597</v>
      </c>
      <c r="B638" s="1" t="s">
        <v>27</v>
      </c>
      <c r="C638" s="1" t="s">
        <v>25</v>
      </c>
      <c r="D638" s="2">
        <v>4.87E-2</v>
      </c>
      <c r="E638" s="3">
        <v>1</v>
      </c>
      <c r="F638" s="2">
        <v>9.2499999999999999E-2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4">
        <v>0.95</v>
      </c>
      <c r="M638" s="15"/>
    </row>
    <row r="639" spans="1:13" hidden="1" x14ac:dyDescent="0.25">
      <c r="A639" s="5">
        <v>45597</v>
      </c>
      <c r="B639" s="1" t="s">
        <v>30</v>
      </c>
      <c r="C639" s="1" t="s">
        <v>13</v>
      </c>
      <c r="D639" s="2">
        <v>5.2499999999999998E-2</v>
      </c>
      <c r="E639" s="3">
        <v>1</v>
      </c>
      <c r="F639" s="2">
        <v>9.5000000000000001E-2</v>
      </c>
      <c r="G639" s="2">
        <v>0</v>
      </c>
      <c r="H639" s="2">
        <v>0</v>
      </c>
      <c r="I639" s="2">
        <v>0</v>
      </c>
      <c r="J639" s="2">
        <v>0</v>
      </c>
      <c r="K639" s="2">
        <v>0</v>
      </c>
      <c r="L639" s="4">
        <v>0.95</v>
      </c>
      <c r="M639" s="15"/>
    </row>
    <row r="640" spans="1:13" hidden="1" x14ac:dyDescent="0.25">
      <c r="A640" s="5">
        <v>45597</v>
      </c>
      <c r="B640" s="1" t="s">
        <v>30</v>
      </c>
      <c r="C640" s="1" t="s">
        <v>17</v>
      </c>
      <c r="D640" s="2">
        <v>3.1399999999999997E-2</v>
      </c>
      <c r="E640" s="3">
        <v>1</v>
      </c>
      <c r="F640" s="2">
        <v>9.9999000000000002</v>
      </c>
      <c r="G640" s="2">
        <v>0</v>
      </c>
      <c r="H640" s="2">
        <v>0</v>
      </c>
      <c r="I640" s="2">
        <v>0.09</v>
      </c>
      <c r="J640" s="2">
        <v>0</v>
      </c>
      <c r="K640" s="2">
        <v>0</v>
      </c>
      <c r="L640" s="4">
        <v>0.95</v>
      </c>
      <c r="M640" s="15"/>
    </row>
    <row r="641" spans="1:13" x14ac:dyDescent="0.25">
      <c r="A641" s="5">
        <v>45597</v>
      </c>
      <c r="B641" s="1" t="s">
        <v>30</v>
      </c>
      <c r="C641" s="1" t="s">
        <v>24</v>
      </c>
      <c r="D641" s="2">
        <v>2.3599999999999999E-2</v>
      </c>
      <c r="E641" s="3">
        <v>2.2000000000000002</v>
      </c>
      <c r="F641" s="2">
        <v>9.9999000000000002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4">
        <v>0.95</v>
      </c>
      <c r="M641" s="15"/>
    </row>
    <row r="642" spans="1:13" x14ac:dyDescent="0.25">
      <c r="A642" s="5">
        <v>45597</v>
      </c>
      <c r="B642" s="1" t="s">
        <v>30</v>
      </c>
      <c r="C642" s="1" t="s">
        <v>25</v>
      </c>
      <c r="D642" s="2">
        <v>4.9799999999999997E-2</v>
      </c>
      <c r="E642" s="3">
        <v>1</v>
      </c>
      <c r="F642" s="2">
        <v>9.5000000000000001E-2</v>
      </c>
      <c r="G642" s="2">
        <v>0</v>
      </c>
      <c r="H642" s="2">
        <v>0</v>
      </c>
      <c r="I642" s="2">
        <v>0</v>
      </c>
      <c r="J642" s="2">
        <v>0</v>
      </c>
      <c r="K642" s="2">
        <v>0</v>
      </c>
      <c r="L642" s="4">
        <v>0.95</v>
      </c>
      <c r="M642" s="15"/>
    </row>
    <row r="643" spans="1:13" hidden="1" x14ac:dyDescent="0.25">
      <c r="A643" s="5">
        <v>45597</v>
      </c>
      <c r="B643" s="1" t="s">
        <v>28</v>
      </c>
      <c r="C643" s="1" t="s">
        <v>13</v>
      </c>
      <c r="D643" s="2">
        <v>4.82E-2</v>
      </c>
      <c r="E643" s="3">
        <v>1</v>
      </c>
      <c r="F643" s="2">
        <v>8.5000000000000006E-2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4">
        <v>0.95</v>
      </c>
      <c r="M643" s="15"/>
    </row>
    <row r="644" spans="1:13" hidden="1" x14ac:dyDescent="0.25">
      <c r="A644" s="5">
        <v>45597</v>
      </c>
      <c r="B644" s="1" t="s">
        <v>28</v>
      </c>
      <c r="C644" s="1" t="s">
        <v>16</v>
      </c>
      <c r="D644" s="2">
        <v>3.1399999999999997E-2</v>
      </c>
      <c r="E644" s="3">
        <v>1</v>
      </c>
      <c r="F644" s="2">
        <v>7.0000000000000007E-2</v>
      </c>
      <c r="G644" s="2">
        <v>1.4999999999999999E-2</v>
      </c>
      <c r="H644" s="2">
        <v>0</v>
      </c>
      <c r="I644" s="2">
        <v>0</v>
      </c>
      <c r="J644" s="2">
        <v>0</v>
      </c>
      <c r="K644" s="2">
        <v>0</v>
      </c>
      <c r="L644" s="4">
        <v>0.95</v>
      </c>
      <c r="M644" s="15"/>
    </row>
    <row r="645" spans="1:13" hidden="1" x14ac:dyDescent="0.25">
      <c r="A645" s="5">
        <v>45597</v>
      </c>
      <c r="B645" s="1" t="s">
        <v>28</v>
      </c>
      <c r="C645" s="1" t="s">
        <v>17</v>
      </c>
      <c r="D645" s="2">
        <v>3.7199999999999997E-2</v>
      </c>
      <c r="E645" s="3">
        <v>1</v>
      </c>
      <c r="F645" s="2">
        <v>9.9999000000000002</v>
      </c>
      <c r="G645" s="2">
        <v>0</v>
      </c>
      <c r="H645" s="2">
        <v>0</v>
      </c>
      <c r="I645" s="2">
        <v>7.7499999999999999E-2</v>
      </c>
      <c r="J645" s="2">
        <v>0</v>
      </c>
      <c r="K645" s="2">
        <v>0</v>
      </c>
      <c r="L645" s="4">
        <v>0.95</v>
      </c>
      <c r="M645" s="15"/>
    </row>
    <row r="646" spans="1:13" hidden="1" x14ac:dyDescent="0.25">
      <c r="A646" s="5">
        <v>45597</v>
      </c>
      <c r="B646" s="1" t="s">
        <v>28</v>
      </c>
      <c r="C646" s="1" t="s">
        <v>18</v>
      </c>
      <c r="D646" s="2">
        <v>4.5699999999999998E-2</v>
      </c>
      <c r="E646" s="3">
        <v>1</v>
      </c>
      <c r="F646" s="2">
        <v>9.9999000000000002</v>
      </c>
      <c r="G646" s="2">
        <v>0</v>
      </c>
      <c r="H646" s="2">
        <v>6.5000000000000002E-2</v>
      </c>
      <c r="I646" s="2">
        <v>0</v>
      </c>
      <c r="J646" s="2">
        <v>0</v>
      </c>
      <c r="K646" s="2">
        <v>0</v>
      </c>
      <c r="L646" s="4">
        <v>0.95</v>
      </c>
      <c r="M646" s="15"/>
    </row>
    <row r="647" spans="1:13" hidden="1" x14ac:dyDescent="0.25">
      <c r="A647" s="5">
        <v>45597</v>
      </c>
      <c r="B647" s="1" t="s">
        <v>29</v>
      </c>
      <c r="C647" s="1" t="s">
        <v>13</v>
      </c>
      <c r="D647" s="2">
        <v>4.48E-2</v>
      </c>
      <c r="E647" s="3">
        <v>1</v>
      </c>
      <c r="F647" s="2">
        <v>7.7499999999999999E-2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4">
        <v>0.95</v>
      </c>
      <c r="M647" s="15"/>
    </row>
    <row r="648" spans="1:13" hidden="1" x14ac:dyDescent="0.25">
      <c r="A648" s="5">
        <v>45597</v>
      </c>
      <c r="B648" s="1" t="s">
        <v>29</v>
      </c>
      <c r="C648" s="1" t="s">
        <v>16</v>
      </c>
      <c r="D648" s="2">
        <v>2.5000000000000001E-2</v>
      </c>
      <c r="E648" s="3">
        <v>1</v>
      </c>
      <c r="F648" s="2">
        <v>5.7500000000000002E-2</v>
      </c>
      <c r="G648" s="2">
        <v>1.4999999999999999E-2</v>
      </c>
      <c r="H648" s="2">
        <v>0</v>
      </c>
      <c r="I648" s="2">
        <v>0</v>
      </c>
      <c r="J648" s="2">
        <v>0</v>
      </c>
      <c r="K648" s="2">
        <v>0</v>
      </c>
      <c r="L648" s="4">
        <v>0.95</v>
      </c>
      <c r="M648" s="15"/>
    </row>
    <row r="649" spans="1:13" hidden="1" x14ac:dyDescent="0.25">
      <c r="A649" s="5">
        <v>45597</v>
      </c>
      <c r="B649" s="1" t="s">
        <v>29</v>
      </c>
      <c r="C649" s="1" t="s">
        <v>17</v>
      </c>
      <c r="D649" s="2">
        <v>3.2800000000000003E-2</v>
      </c>
      <c r="E649" s="3">
        <v>1</v>
      </c>
      <c r="F649" s="2">
        <v>9.9999000000000002</v>
      </c>
      <c r="G649" s="2">
        <v>0</v>
      </c>
      <c r="H649" s="2">
        <v>0</v>
      </c>
      <c r="I649" s="2">
        <v>8.6999999999999994E-2</v>
      </c>
      <c r="J649" s="2">
        <v>0</v>
      </c>
      <c r="K649" s="2">
        <v>0</v>
      </c>
      <c r="L649" s="4">
        <v>0.95</v>
      </c>
      <c r="M649" s="15"/>
    </row>
    <row r="650" spans="1:13" hidden="1" x14ac:dyDescent="0.25">
      <c r="A650" s="5">
        <v>45597</v>
      </c>
      <c r="B650" s="1" t="s">
        <v>29</v>
      </c>
      <c r="C650" s="1" t="s">
        <v>18</v>
      </c>
      <c r="D650" s="2">
        <v>4.0099999999999997E-2</v>
      </c>
      <c r="E650" s="3">
        <v>1</v>
      </c>
      <c r="F650" s="2">
        <v>9.9999000000000002</v>
      </c>
      <c r="G650" s="2">
        <v>0</v>
      </c>
      <c r="H650" s="2">
        <v>5.7000000000000002E-2</v>
      </c>
      <c r="I650" s="2">
        <v>0</v>
      </c>
      <c r="J650" s="2">
        <v>0</v>
      </c>
      <c r="K650" s="2">
        <v>0</v>
      </c>
      <c r="L650" s="4">
        <v>0.95</v>
      </c>
      <c r="M650" s="15"/>
    </row>
    <row r="651" spans="1:13" hidden="1" x14ac:dyDescent="0.25">
      <c r="A651" s="5">
        <v>45628</v>
      </c>
      <c r="B651" s="1" t="s">
        <v>12</v>
      </c>
      <c r="C651" s="1" t="s">
        <v>13</v>
      </c>
      <c r="D651" s="2">
        <v>5.3100000000000001E-2</v>
      </c>
      <c r="E651" s="3">
        <v>1</v>
      </c>
      <c r="F651" s="2">
        <v>9.7500000000000003E-2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4">
        <v>0.95</v>
      </c>
      <c r="M651" s="15"/>
    </row>
    <row r="652" spans="1:13" hidden="1" x14ac:dyDescent="0.25">
      <c r="A652" s="5">
        <v>45628</v>
      </c>
      <c r="B652" s="1" t="s">
        <v>15</v>
      </c>
      <c r="C652" s="1" t="s">
        <v>13</v>
      </c>
      <c r="D652" s="2">
        <v>5.3100000000000001E-2</v>
      </c>
      <c r="E652" s="3">
        <v>1</v>
      </c>
      <c r="F652" s="2">
        <v>9.7500000000000003E-2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  <c r="L652" s="4">
        <v>0.95</v>
      </c>
      <c r="M652" s="15"/>
    </row>
    <row r="653" spans="1:13" hidden="1" x14ac:dyDescent="0.25">
      <c r="A653" s="5">
        <v>45628</v>
      </c>
      <c r="B653" s="1" t="s">
        <v>15</v>
      </c>
      <c r="C653" s="1" t="s">
        <v>16</v>
      </c>
      <c r="D653" s="2">
        <v>3.7999999999999999E-2</v>
      </c>
      <c r="E653" s="3">
        <v>1</v>
      </c>
      <c r="F653" s="2">
        <v>8.5000000000000006E-2</v>
      </c>
      <c r="G653" s="2">
        <v>1.4999999999999999E-2</v>
      </c>
      <c r="H653" s="2">
        <v>0</v>
      </c>
      <c r="I653" s="2">
        <v>0</v>
      </c>
      <c r="J653" s="2">
        <v>0</v>
      </c>
      <c r="K653" s="2">
        <v>0</v>
      </c>
      <c r="L653" s="4">
        <v>0.95</v>
      </c>
      <c r="M653" s="15"/>
    </row>
    <row r="654" spans="1:13" hidden="1" x14ac:dyDescent="0.25">
      <c r="A654" s="5">
        <v>45628</v>
      </c>
      <c r="B654" s="1" t="s">
        <v>15</v>
      </c>
      <c r="C654" s="1" t="s">
        <v>17</v>
      </c>
      <c r="D654" s="2">
        <v>3.7600000000000001E-2</v>
      </c>
      <c r="E654" s="3">
        <v>1</v>
      </c>
      <c r="F654" s="2">
        <v>9.9999000000000002</v>
      </c>
      <c r="G654" s="2">
        <v>0</v>
      </c>
      <c r="H654" s="2">
        <v>0</v>
      </c>
      <c r="I654" s="2">
        <v>0.08</v>
      </c>
      <c r="J654" s="2">
        <v>0</v>
      </c>
      <c r="K654" s="2">
        <v>0</v>
      </c>
      <c r="L654" s="4">
        <v>0.95</v>
      </c>
      <c r="M654" s="15"/>
    </row>
    <row r="655" spans="1:13" hidden="1" x14ac:dyDescent="0.25">
      <c r="A655" s="5">
        <v>45628</v>
      </c>
      <c r="B655" s="1" t="s">
        <v>15</v>
      </c>
      <c r="C655" s="1" t="s">
        <v>18</v>
      </c>
      <c r="D655" s="2">
        <v>5.2999999999999999E-2</v>
      </c>
      <c r="E655" s="3">
        <v>1</v>
      </c>
      <c r="F655" s="2">
        <v>9.9999000000000002</v>
      </c>
      <c r="G655" s="2">
        <v>0</v>
      </c>
      <c r="H655" s="2">
        <v>7.4999999999999997E-2</v>
      </c>
      <c r="I655" s="2">
        <v>0</v>
      </c>
      <c r="J655" s="2">
        <v>0</v>
      </c>
      <c r="K655" s="2">
        <v>0</v>
      </c>
      <c r="L655" s="4">
        <v>0.95</v>
      </c>
      <c r="M655" s="15"/>
    </row>
    <row r="656" spans="1:13" hidden="1" x14ac:dyDescent="0.25">
      <c r="A656" s="5">
        <v>45628</v>
      </c>
      <c r="B656" s="1" t="s">
        <v>19</v>
      </c>
      <c r="C656" s="1" t="s">
        <v>13</v>
      </c>
      <c r="D656" s="2">
        <v>4.2099999999999999E-2</v>
      </c>
      <c r="E656" s="3">
        <v>1</v>
      </c>
      <c r="F656" s="2">
        <v>7.2499999999999995E-2</v>
      </c>
      <c r="G656" s="2">
        <v>0</v>
      </c>
      <c r="H656" s="2">
        <v>0</v>
      </c>
      <c r="I656" s="2">
        <v>0</v>
      </c>
      <c r="J656" s="2">
        <v>0</v>
      </c>
      <c r="K656" s="2">
        <v>0</v>
      </c>
      <c r="L656" s="4">
        <v>0.95</v>
      </c>
      <c r="M656" s="15"/>
    </row>
    <row r="657" spans="1:13" hidden="1" x14ac:dyDescent="0.25">
      <c r="A657" s="5">
        <v>45628</v>
      </c>
      <c r="B657" s="1" t="s">
        <v>19</v>
      </c>
      <c r="C657" s="1" t="s">
        <v>16</v>
      </c>
      <c r="D657" s="2">
        <v>2.6100000000000002E-2</v>
      </c>
      <c r="E657" s="3">
        <v>1</v>
      </c>
      <c r="F657" s="2">
        <v>0.06</v>
      </c>
      <c r="G657" s="2">
        <v>1.4999999999999999E-2</v>
      </c>
      <c r="H657" s="2">
        <v>0</v>
      </c>
      <c r="I657" s="2">
        <v>0</v>
      </c>
      <c r="J657" s="2">
        <v>0</v>
      </c>
      <c r="K657" s="2">
        <v>0</v>
      </c>
      <c r="L657" s="4">
        <v>0.95</v>
      </c>
      <c r="M657" s="15"/>
    </row>
    <row r="658" spans="1:13" hidden="1" x14ac:dyDescent="0.25">
      <c r="A658" s="5">
        <v>45628</v>
      </c>
      <c r="B658" s="1" t="s">
        <v>19</v>
      </c>
      <c r="C658" s="1" t="s">
        <v>17</v>
      </c>
      <c r="D658" s="2">
        <v>3.3099999999999997E-2</v>
      </c>
      <c r="E658" s="3">
        <v>1</v>
      </c>
      <c r="F658" s="2">
        <v>9.9999000000000002</v>
      </c>
      <c r="G658" s="2">
        <v>0</v>
      </c>
      <c r="H658" s="2">
        <v>0</v>
      </c>
      <c r="I658" s="2">
        <v>0.09</v>
      </c>
      <c r="J658" s="2">
        <v>0</v>
      </c>
      <c r="K658" s="2">
        <v>0</v>
      </c>
      <c r="L658" s="4">
        <v>0.95</v>
      </c>
      <c r="M658" s="15"/>
    </row>
    <row r="659" spans="1:13" hidden="1" x14ac:dyDescent="0.25">
      <c r="A659" s="5">
        <v>45628</v>
      </c>
      <c r="B659" s="1" t="s">
        <v>19</v>
      </c>
      <c r="C659" s="1" t="s">
        <v>18</v>
      </c>
      <c r="D659" s="2">
        <v>4.24E-2</v>
      </c>
      <c r="E659" s="3">
        <v>1</v>
      </c>
      <c r="F659" s="2">
        <v>9.9999000000000002</v>
      </c>
      <c r="G659" s="2">
        <v>0</v>
      </c>
      <c r="H659" s="2">
        <v>0.06</v>
      </c>
      <c r="I659" s="2">
        <v>0</v>
      </c>
      <c r="J659" s="2">
        <v>0</v>
      </c>
      <c r="K659" s="2">
        <v>0</v>
      </c>
      <c r="L659" s="4">
        <v>0.95</v>
      </c>
      <c r="M659" s="15"/>
    </row>
    <row r="660" spans="1:13" hidden="1" x14ac:dyDescent="0.25">
      <c r="A660" s="5">
        <v>45628</v>
      </c>
      <c r="B660" s="1" t="s">
        <v>20</v>
      </c>
      <c r="C660" s="1" t="s">
        <v>13</v>
      </c>
      <c r="D660" s="2">
        <v>5.3100000000000001E-2</v>
      </c>
      <c r="E660" s="3">
        <v>1</v>
      </c>
      <c r="F660" s="2">
        <v>9.7500000000000003E-2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4">
        <v>0.95</v>
      </c>
      <c r="M660" s="15"/>
    </row>
    <row r="661" spans="1:13" hidden="1" x14ac:dyDescent="0.25">
      <c r="A661" s="5">
        <v>45628</v>
      </c>
      <c r="B661" s="1" t="s">
        <v>20</v>
      </c>
      <c r="C661" s="1" t="s">
        <v>17</v>
      </c>
      <c r="D661" s="2">
        <v>3.7600000000000001E-2</v>
      </c>
      <c r="E661" s="3">
        <v>1</v>
      </c>
      <c r="F661" s="2">
        <v>9.9999000000000002</v>
      </c>
      <c r="G661" s="2">
        <v>0</v>
      </c>
      <c r="H661" s="2">
        <v>0</v>
      </c>
      <c r="I661" s="2">
        <v>0.08</v>
      </c>
      <c r="J661" s="2">
        <v>0</v>
      </c>
      <c r="K661" s="2">
        <v>0</v>
      </c>
      <c r="L661" s="4">
        <v>0.95</v>
      </c>
      <c r="M661" s="15"/>
    </row>
    <row r="662" spans="1:13" hidden="1" x14ac:dyDescent="0.25">
      <c r="A662" s="5">
        <v>45628</v>
      </c>
      <c r="B662" s="1" t="s">
        <v>20</v>
      </c>
      <c r="C662" s="1" t="s">
        <v>21</v>
      </c>
      <c r="D662" s="2">
        <v>6.08E-2</v>
      </c>
      <c r="E662" s="3">
        <v>1</v>
      </c>
      <c r="F662" s="2">
        <v>0.12</v>
      </c>
      <c r="G662" s="2">
        <v>0</v>
      </c>
      <c r="H662" s="2">
        <v>0</v>
      </c>
      <c r="I662" s="2">
        <v>0</v>
      </c>
      <c r="J662" s="2">
        <v>4.1500000000000002E-2</v>
      </c>
      <c r="K662" s="2">
        <v>0.6</v>
      </c>
      <c r="L662" s="4">
        <v>0.95</v>
      </c>
      <c r="M662" s="15"/>
    </row>
    <row r="663" spans="1:13" hidden="1" x14ac:dyDescent="0.25">
      <c r="A663" s="5">
        <v>45628</v>
      </c>
      <c r="B663" s="1" t="s">
        <v>20</v>
      </c>
      <c r="C663" s="1" t="s">
        <v>22</v>
      </c>
      <c r="D663" s="2">
        <v>6.08E-2</v>
      </c>
      <c r="E663" s="3">
        <v>1</v>
      </c>
      <c r="F663" s="2">
        <v>0.12</v>
      </c>
      <c r="G663" s="2">
        <v>0</v>
      </c>
      <c r="H663" s="2">
        <v>0</v>
      </c>
      <c r="I663" s="2">
        <v>0</v>
      </c>
      <c r="J663" s="2">
        <v>2.1499999999999998E-2</v>
      </c>
      <c r="K663" s="2">
        <v>0.24</v>
      </c>
      <c r="L663" s="4">
        <v>0.95</v>
      </c>
      <c r="M663" s="15"/>
    </row>
    <row r="664" spans="1:13" hidden="1" x14ac:dyDescent="0.25">
      <c r="A664" s="5">
        <v>45628</v>
      </c>
      <c r="B664" s="1" t="s">
        <v>23</v>
      </c>
      <c r="C664" s="1" t="s">
        <v>24</v>
      </c>
      <c r="D664" s="2">
        <v>2.3599999999999999E-2</v>
      </c>
      <c r="E664" s="3">
        <v>2.4</v>
      </c>
      <c r="F664" s="2">
        <v>9.9999000000000002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4">
        <v>0.95</v>
      </c>
      <c r="M664" s="15"/>
    </row>
    <row r="665" spans="1:13" hidden="1" x14ac:dyDescent="0.25">
      <c r="A665" s="5">
        <v>45628</v>
      </c>
      <c r="B665" s="1" t="s">
        <v>23</v>
      </c>
      <c r="C665" s="1" t="s">
        <v>25</v>
      </c>
      <c r="D665" s="2">
        <v>5.2499999999999998E-2</v>
      </c>
      <c r="E665" s="3">
        <v>1</v>
      </c>
      <c r="F665" s="2">
        <v>0.10249999999999999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4">
        <v>0.95</v>
      </c>
      <c r="M665" s="15"/>
    </row>
    <row r="666" spans="1:13" hidden="1" x14ac:dyDescent="0.25">
      <c r="A666" s="5">
        <v>45628</v>
      </c>
      <c r="B666" s="1" t="s">
        <v>23</v>
      </c>
      <c r="C666" s="1" t="s">
        <v>13</v>
      </c>
      <c r="D666" s="2">
        <v>5.5E-2</v>
      </c>
      <c r="E666" s="3">
        <v>1</v>
      </c>
      <c r="F666" s="2">
        <v>0.10249999999999999</v>
      </c>
      <c r="G666" s="2">
        <v>0</v>
      </c>
      <c r="H666" s="2">
        <v>0</v>
      </c>
      <c r="I666" s="2">
        <v>0</v>
      </c>
      <c r="J666" s="2">
        <v>0</v>
      </c>
      <c r="K666" s="2">
        <v>0</v>
      </c>
      <c r="L666" s="4">
        <v>0.95</v>
      </c>
      <c r="M666" s="15"/>
    </row>
    <row r="667" spans="1:13" hidden="1" x14ac:dyDescent="0.25">
      <c r="A667" s="5">
        <v>45628</v>
      </c>
      <c r="B667" s="1" t="s">
        <v>23</v>
      </c>
      <c r="C667" s="1" t="s">
        <v>17</v>
      </c>
      <c r="D667" s="2">
        <v>3.7600000000000001E-2</v>
      </c>
      <c r="E667" s="3">
        <v>1</v>
      </c>
      <c r="F667" s="2">
        <v>9.9999000000000002</v>
      </c>
      <c r="G667" s="2">
        <v>0</v>
      </c>
      <c r="H667" s="2">
        <v>0</v>
      </c>
      <c r="I667" s="2">
        <v>0.08</v>
      </c>
      <c r="J667" s="2">
        <v>0</v>
      </c>
      <c r="K667" s="2">
        <v>0</v>
      </c>
      <c r="L667" s="4">
        <v>0.95</v>
      </c>
      <c r="M667" s="15"/>
    </row>
    <row r="668" spans="1:13" hidden="1" x14ac:dyDescent="0.25">
      <c r="A668" s="5">
        <v>45628</v>
      </c>
      <c r="B668" s="1" t="s">
        <v>23</v>
      </c>
      <c r="C668" s="1" t="s">
        <v>21</v>
      </c>
      <c r="D668" s="2">
        <v>6.08E-2</v>
      </c>
      <c r="E668" s="3">
        <v>1</v>
      </c>
      <c r="F668" s="2">
        <v>0.12</v>
      </c>
      <c r="G668" s="2">
        <v>0</v>
      </c>
      <c r="H668" s="2">
        <v>0</v>
      </c>
      <c r="I668" s="2">
        <v>0</v>
      </c>
      <c r="J668" s="2">
        <v>4.1500000000000002E-2</v>
      </c>
      <c r="K668" s="2">
        <v>0.6</v>
      </c>
      <c r="L668" s="4">
        <v>0.95</v>
      </c>
      <c r="M668" s="15"/>
    </row>
    <row r="669" spans="1:13" hidden="1" x14ac:dyDescent="0.25">
      <c r="A669" s="5">
        <v>45628</v>
      </c>
      <c r="B669" s="1" t="s">
        <v>23</v>
      </c>
      <c r="C669" s="1" t="s">
        <v>22</v>
      </c>
      <c r="D669" s="2">
        <v>6.08E-2</v>
      </c>
      <c r="E669" s="3">
        <v>1</v>
      </c>
      <c r="F669" s="2">
        <v>0.12</v>
      </c>
      <c r="G669" s="2">
        <v>0</v>
      </c>
      <c r="H669" s="2">
        <v>0</v>
      </c>
      <c r="I669" s="2">
        <v>0</v>
      </c>
      <c r="J669" s="2">
        <v>2.1499999999999998E-2</v>
      </c>
      <c r="K669" s="2">
        <v>0.24</v>
      </c>
      <c r="L669" s="4">
        <v>0.95</v>
      </c>
      <c r="M669" s="15"/>
    </row>
    <row r="670" spans="1:13" hidden="1" x14ac:dyDescent="0.25">
      <c r="A670" s="5">
        <v>45628</v>
      </c>
      <c r="B670" s="1" t="s">
        <v>26</v>
      </c>
      <c r="C670" s="1" t="s">
        <v>24</v>
      </c>
      <c r="D670" s="2">
        <v>2.3599999999999999E-2</v>
      </c>
      <c r="E670" s="3">
        <v>2.4</v>
      </c>
      <c r="F670" s="2">
        <v>9.9999000000000002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4">
        <v>0.95</v>
      </c>
      <c r="M670" s="15"/>
    </row>
    <row r="671" spans="1:13" hidden="1" x14ac:dyDescent="0.25">
      <c r="A671" s="5">
        <v>45628</v>
      </c>
      <c r="B671" s="1" t="s">
        <v>26</v>
      </c>
      <c r="C671" s="1" t="s">
        <v>25</v>
      </c>
      <c r="D671" s="2">
        <v>5.2499999999999998E-2</v>
      </c>
      <c r="E671" s="3">
        <v>1</v>
      </c>
      <c r="F671" s="2">
        <v>0.1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4">
        <v>0.95</v>
      </c>
      <c r="M671" s="15"/>
    </row>
    <row r="672" spans="1:13" hidden="1" x14ac:dyDescent="0.25">
      <c r="A672" s="5">
        <v>45628</v>
      </c>
      <c r="B672" s="1" t="s">
        <v>26</v>
      </c>
      <c r="C672" s="1" t="s">
        <v>13</v>
      </c>
      <c r="D672" s="2">
        <v>5.4100000000000002E-2</v>
      </c>
      <c r="E672" s="3">
        <v>1</v>
      </c>
      <c r="F672" s="2">
        <v>0.1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4">
        <v>0.95</v>
      </c>
      <c r="M672" s="15"/>
    </row>
    <row r="673" spans="1:13" hidden="1" x14ac:dyDescent="0.25">
      <c r="A673" s="5">
        <v>45628</v>
      </c>
      <c r="B673" s="1" t="s">
        <v>26</v>
      </c>
      <c r="C673" s="1" t="s">
        <v>17</v>
      </c>
      <c r="D673" s="2">
        <v>3.7600000000000001E-2</v>
      </c>
      <c r="E673" s="3">
        <v>1</v>
      </c>
      <c r="F673" s="2">
        <v>9.9999000000000002</v>
      </c>
      <c r="G673" s="2">
        <v>0</v>
      </c>
      <c r="H673" s="2">
        <v>0</v>
      </c>
      <c r="I673" s="2">
        <v>0.08</v>
      </c>
      <c r="J673" s="2">
        <v>0</v>
      </c>
      <c r="K673" s="2">
        <v>0</v>
      </c>
      <c r="L673" s="4">
        <v>0.95</v>
      </c>
      <c r="M673" s="15"/>
    </row>
    <row r="674" spans="1:13" hidden="1" x14ac:dyDescent="0.25">
      <c r="A674" s="5">
        <v>45628</v>
      </c>
      <c r="B674" s="1" t="s">
        <v>26</v>
      </c>
      <c r="C674" s="1" t="s">
        <v>21</v>
      </c>
      <c r="D674" s="2">
        <v>6.08E-2</v>
      </c>
      <c r="E674" s="3">
        <v>1</v>
      </c>
      <c r="F674" s="2">
        <v>0.12</v>
      </c>
      <c r="G674" s="2">
        <v>0</v>
      </c>
      <c r="H674" s="2">
        <v>0</v>
      </c>
      <c r="I674" s="2">
        <v>0</v>
      </c>
      <c r="J674" s="2">
        <v>4.1500000000000002E-2</v>
      </c>
      <c r="K674" s="2">
        <v>0.6</v>
      </c>
      <c r="L674" s="4">
        <v>0.95</v>
      </c>
      <c r="M674" s="15"/>
    </row>
    <row r="675" spans="1:13" hidden="1" x14ac:dyDescent="0.25">
      <c r="A675" s="5">
        <v>45628</v>
      </c>
      <c r="B675" s="1" t="s">
        <v>26</v>
      </c>
      <c r="C675" s="1" t="s">
        <v>22</v>
      </c>
      <c r="D675" s="2">
        <v>6.08E-2</v>
      </c>
      <c r="E675" s="3">
        <v>1</v>
      </c>
      <c r="F675" s="2">
        <v>0.12</v>
      </c>
      <c r="G675" s="2">
        <v>0</v>
      </c>
      <c r="H675" s="2">
        <v>0</v>
      </c>
      <c r="I675" s="2">
        <v>0</v>
      </c>
      <c r="J675" s="2">
        <v>2.1499999999999998E-2</v>
      </c>
      <c r="K675" s="2">
        <v>0.24</v>
      </c>
      <c r="L675" s="4">
        <v>0.95</v>
      </c>
      <c r="M675" s="15"/>
    </row>
    <row r="676" spans="1:13" hidden="1" x14ac:dyDescent="0.25">
      <c r="A676" s="5">
        <v>45628</v>
      </c>
      <c r="B676" s="1" t="s">
        <v>27</v>
      </c>
      <c r="C676" s="1" t="s">
        <v>13</v>
      </c>
      <c r="D676" s="2">
        <v>5.11E-2</v>
      </c>
      <c r="E676" s="3">
        <v>1</v>
      </c>
      <c r="F676" s="2">
        <v>9.2499999999999999E-2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4">
        <v>0.95</v>
      </c>
      <c r="M676" s="15"/>
    </row>
    <row r="677" spans="1:13" hidden="1" x14ac:dyDescent="0.25">
      <c r="A677" s="5">
        <v>45628</v>
      </c>
      <c r="B677" s="1" t="s">
        <v>27</v>
      </c>
      <c r="C677" s="1" t="s">
        <v>17</v>
      </c>
      <c r="D677" s="2">
        <v>3.3099999999999997E-2</v>
      </c>
      <c r="E677" s="3">
        <v>1</v>
      </c>
      <c r="F677" s="2">
        <v>9.9999000000000002</v>
      </c>
      <c r="G677" s="2">
        <v>0</v>
      </c>
      <c r="H677" s="2">
        <v>0</v>
      </c>
      <c r="I677" s="2">
        <v>0.09</v>
      </c>
      <c r="J677" s="2">
        <v>0</v>
      </c>
      <c r="K677" s="2">
        <v>0</v>
      </c>
      <c r="L677" s="4">
        <v>0.95</v>
      </c>
      <c r="M677" s="15"/>
    </row>
    <row r="678" spans="1:13" hidden="1" x14ac:dyDescent="0.25">
      <c r="A678" s="5">
        <v>45628</v>
      </c>
      <c r="B678" s="1" t="s">
        <v>27</v>
      </c>
      <c r="C678" s="1" t="s">
        <v>24</v>
      </c>
      <c r="D678" s="2">
        <v>2.3599999999999999E-2</v>
      </c>
      <c r="E678" s="3">
        <v>2.2000000000000002</v>
      </c>
      <c r="F678" s="2">
        <v>9.9999000000000002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4">
        <v>0.95</v>
      </c>
      <c r="M678" s="15"/>
    </row>
    <row r="679" spans="1:13" hidden="1" x14ac:dyDescent="0.25">
      <c r="A679" s="5">
        <v>45628</v>
      </c>
      <c r="B679" s="1" t="s">
        <v>27</v>
      </c>
      <c r="C679" s="1" t="s">
        <v>25</v>
      </c>
      <c r="D679" s="2">
        <v>4.8300000000000003E-2</v>
      </c>
      <c r="E679" s="3">
        <v>1</v>
      </c>
      <c r="F679" s="2">
        <v>9.2499999999999999E-2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4">
        <v>0.95</v>
      </c>
      <c r="M679" s="15"/>
    </row>
    <row r="680" spans="1:13" hidden="1" x14ac:dyDescent="0.25">
      <c r="A680" s="5">
        <v>45628</v>
      </c>
      <c r="B680" s="1" t="s">
        <v>30</v>
      </c>
      <c r="C680" s="1" t="s">
        <v>13</v>
      </c>
      <c r="D680" s="2">
        <v>5.21E-2</v>
      </c>
      <c r="E680" s="3">
        <v>1</v>
      </c>
      <c r="F680" s="2">
        <v>9.5000000000000001E-2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4">
        <v>0.95</v>
      </c>
      <c r="M680" s="15"/>
    </row>
    <row r="681" spans="1:13" hidden="1" x14ac:dyDescent="0.25">
      <c r="A681" s="5">
        <v>45628</v>
      </c>
      <c r="B681" s="1" t="s">
        <v>30</v>
      </c>
      <c r="C681" s="1" t="s">
        <v>17</v>
      </c>
      <c r="D681" s="2">
        <v>3.3099999999999997E-2</v>
      </c>
      <c r="E681" s="3">
        <v>1</v>
      </c>
      <c r="F681" s="2">
        <v>9.9999000000000002</v>
      </c>
      <c r="G681" s="2">
        <v>0</v>
      </c>
      <c r="H681" s="2">
        <v>0</v>
      </c>
      <c r="I681" s="2">
        <v>0.09</v>
      </c>
      <c r="J681" s="2">
        <v>0</v>
      </c>
      <c r="K681" s="2">
        <v>0</v>
      </c>
      <c r="L681" s="4">
        <v>0.95</v>
      </c>
      <c r="M681" s="15"/>
    </row>
    <row r="682" spans="1:13" hidden="1" x14ac:dyDescent="0.25">
      <c r="A682" s="5">
        <v>45628</v>
      </c>
      <c r="B682" s="1" t="s">
        <v>30</v>
      </c>
      <c r="C682" s="1" t="s">
        <v>24</v>
      </c>
      <c r="D682" s="2">
        <v>2.3599999999999999E-2</v>
      </c>
      <c r="E682" s="3">
        <v>2.2000000000000002</v>
      </c>
      <c r="F682" s="2">
        <v>9.9999000000000002</v>
      </c>
      <c r="G682" s="2">
        <v>0</v>
      </c>
      <c r="H682" s="2">
        <v>0</v>
      </c>
      <c r="I682" s="2">
        <v>0</v>
      </c>
      <c r="J682" s="2">
        <v>0</v>
      </c>
      <c r="K682" s="2">
        <v>0</v>
      </c>
      <c r="L682" s="4">
        <v>0.95</v>
      </c>
      <c r="M682" s="15"/>
    </row>
    <row r="683" spans="1:13" hidden="1" x14ac:dyDescent="0.25">
      <c r="A683" s="5">
        <v>45628</v>
      </c>
      <c r="B683" s="1" t="s">
        <v>30</v>
      </c>
      <c r="C683" s="1" t="s">
        <v>25</v>
      </c>
      <c r="D683" s="2">
        <v>4.9399999999999999E-2</v>
      </c>
      <c r="E683" s="3">
        <v>1</v>
      </c>
      <c r="F683" s="2">
        <v>9.5000000000000001E-2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4">
        <v>0.95</v>
      </c>
      <c r="M683" s="15"/>
    </row>
    <row r="684" spans="1:13" hidden="1" x14ac:dyDescent="0.25">
      <c r="A684" s="5">
        <v>45628</v>
      </c>
      <c r="B684" s="1" t="s">
        <v>28</v>
      </c>
      <c r="C684" s="1" t="s">
        <v>13</v>
      </c>
      <c r="D684" s="2">
        <v>4.7800000000000002E-2</v>
      </c>
      <c r="E684" s="3">
        <v>1</v>
      </c>
      <c r="F684" s="2">
        <v>8.5000000000000006E-2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4">
        <v>0.95</v>
      </c>
      <c r="M684" s="15"/>
    </row>
    <row r="685" spans="1:13" hidden="1" x14ac:dyDescent="0.25">
      <c r="A685" s="5">
        <v>45628</v>
      </c>
      <c r="B685" s="1" t="s">
        <v>28</v>
      </c>
      <c r="C685" s="1" t="s">
        <v>16</v>
      </c>
      <c r="D685" s="2">
        <v>3.1099999999999999E-2</v>
      </c>
      <c r="E685" s="3">
        <v>1</v>
      </c>
      <c r="F685" s="2">
        <v>7.0000000000000007E-2</v>
      </c>
      <c r="G685" s="2">
        <v>1.4999999999999999E-2</v>
      </c>
      <c r="H685" s="2">
        <v>0</v>
      </c>
      <c r="I685" s="2">
        <v>0</v>
      </c>
      <c r="J685" s="2">
        <v>0</v>
      </c>
      <c r="K685" s="2">
        <v>0</v>
      </c>
      <c r="L685" s="4">
        <v>0.95</v>
      </c>
      <c r="M685" s="15"/>
    </row>
    <row r="686" spans="1:13" hidden="1" x14ac:dyDescent="0.25">
      <c r="A686" s="5">
        <v>45628</v>
      </c>
      <c r="B686" s="1" t="s">
        <v>28</v>
      </c>
      <c r="C686" s="1" t="s">
        <v>17</v>
      </c>
      <c r="D686" s="2">
        <v>3.8800000000000001E-2</v>
      </c>
      <c r="E686" s="3">
        <v>1</v>
      </c>
      <c r="F686" s="2">
        <v>9.9999000000000002</v>
      </c>
      <c r="G686" s="2">
        <v>0</v>
      </c>
      <c r="H686" s="2">
        <v>0</v>
      </c>
      <c r="I686" s="2">
        <v>7.7499999999999999E-2</v>
      </c>
      <c r="J686" s="2">
        <v>0</v>
      </c>
      <c r="K686" s="2">
        <v>0</v>
      </c>
      <c r="L686" s="4">
        <v>0.95</v>
      </c>
      <c r="M686" s="15"/>
    </row>
    <row r="687" spans="1:13" hidden="1" x14ac:dyDescent="0.25">
      <c r="A687" s="5">
        <v>45628</v>
      </c>
      <c r="B687" s="1" t="s">
        <v>28</v>
      </c>
      <c r="C687" s="1" t="s">
        <v>18</v>
      </c>
      <c r="D687" s="2">
        <v>4.5999999999999999E-2</v>
      </c>
      <c r="E687" s="3">
        <v>1</v>
      </c>
      <c r="F687" s="2">
        <v>9.9999000000000002</v>
      </c>
      <c r="G687" s="2">
        <v>0</v>
      </c>
      <c r="H687" s="2">
        <v>6.8500000000000005E-2</v>
      </c>
      <c r="I687" s="2">
        <v>0</v>
      </c>
      <c r="J687" s="2">
        <v>0</v>
      </c>
      <c r="K687" s="2">
        <v>0</v>
      </c>
      <c r="L687" s="4">
        <v>0.95</v>
      </c>
      <c r="M687" s="15"/>
    </row>
    <row r="688" spans="1:13" hidden="1" x14ac:dyDescent="0.25">
      <c r="A688" s="5">
        <v>45628</v>
      </c>
      <c r="B688" s="1" t="s">
        <v>29</v>
      </c>
      <c r="C688" s="1" t="s">
        <v>13</v>
      </c>
      <c r="D688" s="2">
        <v>4.4400000000000002E-2</v>
      </c>
      <c r="E688" s="3">
        <v>1</v>
      </c>
      <c r="F688" s="2">
        <v>7.7499999999999999E-2</v>
      </c>
      <c r="G688" s="2">
        <v>0</v>
      </c>
      <c r="H688" s="2">
        <v>0</v>
      </c>
      <c r="I688" s="2">
        <v>0</v>
      </c>
      <c r="J688" s="2">
        <v>0</v>
      </c>
      <c r="K688" s="2">
        <v>0</v>
      </c>
      <c r="L688" s="4">
        <v>0.95</v>
      </c>
      <c r="M688" s="15"/>
    </row>
    <row r="689" spans="1:13" hidden="1" x14ac:dyDescent="0.25">
      <c r="A689" s="5">
        <v>45628</v>
      </c>
      <c r="B689" s="1" t="s">
        <v>29</v>
      </c>
      <c r="C689" s="1" t="s">
        <v>16</v>
      </c>
      <c r="D689" s="2">
        <v>2.4799999999999999E-2</v>
      </c>
      <c r="E689" s="3">
        <v>1</v>
      </c>
      <c r="F689" s="2">
        <v>5.7500000000000002E-2</v>
      </c>
      <c r="G689" s="2">
        <v>1.4999999999999999E-2</v>
      </c>
      <c r="H689" s="2">
        <v>0</v>
      </c>
      <c r="I689" s="2">
        <v>0</v>
      </c>
      <c r="J689" s="2">
        <v>0</v>
      </c>
      <c r="K689" s="2">
        <v>0</v>
      </c>
      <c r="L689" s="4">
        <v>0.95</v>
      </c>
      <c r="M689" s="15"/>
    </row>
    <row r="690" spans="1:13" hidden="1" x14ac:dyDescent="0.25">
      <c r="A690" s="5">
        <v>45628</v>
      </c>
      <c r="B690" s="1" t="s">
        <v>29</v>
      </c>
      <c r="C690" s="1" t="s">
        <v>17</v>
      </c>
      <c r="D690" s="2">
        <v>3.44E-2</v>
      </c>
      <c r="E690" s="3">
        <v>1</v>
      </c>
      <c r="F690" s="2">
        <v>9.9999000000000002</v>
      </c>
      <c r="G690" s="2">
        <v>0</v>
      </c>
      <c r="H690" s="2">
        <v>0</v>
      </c>
      <c r="I690" s="2">
        <v>8.6999999999999994E-2</v>
      </c>
      <c r="J690" s="2">
        <v>0</v>
      </c>
      <c r="K690" s="2">
        <v>0</v>
      </c>
      <c r="L690" s="4">
        <v>0.95</v>
      </c>
      <c r="M690" s="15"/>
    </row>
    <row r="691" spans="1:13" hidden="1" x14ac:dyDescent="0.25">
      <c r="A691" s="5">
        <v>45628</v>
      </c>
      <c r="B691" s="1" t="s">
        <v>29</v>
      </c>
      <c r="C691" s="1" t="s">
        <v>18</v>
      </c>
      <c r="D691" s="2">
        <v>4.0300000000000002E-2</v>
      </c>
      <c r="E691" s="3">
        <v>1</v>
      </c>
      <c r="F691" s="2">
        <v>9.9999000000000002</v>
      </c>
      <c r="G691" s="2">
        <v>0</v>
      </c>
      <c r="H691" s="2">
        <v>0.06</v>
      </c>
      <c r="I691" s="2">
        <v>0</v>
      </c>
      <c r="J691" s="2">
        <v>0</v>
      </c>
      <c r="K691" s="2">
        <v>0</v>
      </c>
      <c r="L691" s="4">
        <v>0.95</v>
      </c>
      <c r="M691" s="15"/>
    </row>
    <row r="692" spans="1:13" hidden="1" x14ac:dyDescent="0.25">
      <c r="A692" s="5">
        <v>45659</v>
      </c>
      <c r="B692" s="1" t="s">
        <v>12</v>
      </c>
      <c r="C692" s="1" t="s">
        <v>13</v>
      </c>
      <c r="D692" s="2">
        <v>0</v>
      </c>
      <c r="E692" s="3">
        <v>1</v>
      </c>
      <c r="F692" s="2">
        <v>9.7500000000000003E-2</v>
      </c>
      <c r="G692" s="2">
        <v>0</v>
      </c>
      <c r="H692" s="2">
        <v>0</v>
      </c>
      <c r="I692" s="2">
        <v>0</v>
      </c>
      <c r="J692" s="2">
        <v>0</v>
      </c>
      <c r="K692" s="2">
        <v>0</v>
      </c>
      <c r="L692" s="4">
        <v>0.95</v>
      </c>
      <c r="M692" s="15"/>
    </row>
    <row r="693" spans="1:13" hidden="1" x14ac:dyDescent="0.25">
      <c r="A693" s="5">
        <v>45659</v>
      </c>
      <c r="B693" s="1" t="s">
        <v>15</v>
      </c>
      <c r="C693" s="1" t="s">
        <v>13</v>
      </c>
      <c r="D693" s="2">
        <v>0</v>
      </c>
      <c r="E693" s="3">
        <v>1</v>
      </c>
      <c r="F693" s="2">
        <v>9.7500000000000003E-2</v>
      </c>
      <c r="G693" s="2">
        <v>0</v>
      </c>
      <c r="H693" s="2">
        <v>0</v>
      </c>
      <c r="I693" s="2">
        <v>0</v>
      </c>
      <c r="J693" s="2">
        <v>0</v>
      </c>
      <c r="K693" s="2">
        <v>0</v>
      </c>
      <c r="L693" s="4">
        <v>0.95</v>
      </c>
      <c r="M693" s="15"/>
    </row>
    <row r="694" spans="1:13" hidden="1" x14ac:dyDescent="0.25">
      <c r="A694" s="5">
        <v>45659</v>
      </c>
      <c r="B694" s="1" t="s">
        <v>15</v>
      </c>
      <c r="C694" s="1" t="s">
        <v>16</v>
      </c>
      <c r="D694" s="2">
        <v>0</v>
      </c>
      <c r="E694" s="3">
        <v>1</v>
      </c>
      <c r="F694" s="2">
        <v>8.5000000000000006E-2</v>
      </c>
      <c r="G694" s="2">
        <v>1.4999999999999999E-2</v>
      </c>
      <c r="H694" s="2">
        <v>0</v>
      </c>
      <c r="I694" s="2">
        <v>0</v>
      </c>
      <c r="J694" s="2">
        <v>0</v>
      </c>
      <c r="K694" s="2">
        <v>0</v>
      </c>
      <c r="L694" s="4">
        <v>0.95</v>
      </c>
      <c r="M694" s="15"/>
    </row>
    <row r="695" spans="1:13" hidden="1" x14ac:dyDescent="0.25">
      <c r="A695" s="5">
        <v>45659</v>
      </c>
      <c r="B695" s="1" t="s">
        <v>15</v>
      </c>
      <c r="C695" s="1" t="s">
        <v>17</v>
      </c>
      <c r="D695" s="2">
        <v>0</v>
      </c>
      <c r="E695" s="3">
        <v>1</v>
      </c>
      <c r="F695" s="2">
        <v>9.9999000000000002</v>
      </c>
      <c r="G695" s="2">
        <v>0</v>
      </c>
      <c r="H695" s="2">
        <v>0</v>
      </c>
      <c r="I695" s="2">
        <v>0.08</v>
      </c>
      <c r="J695" s="2">
        <v>0</v>
      </c>
      <c r="K695" s="2">
        <v>0</v>
      </c>
      <c r="L695" s="4">
        <v>0.95</v>
      </c>
      <c r="M695" s="15"/>
    </row>
    <row r="696" spans="1:13" hidden="1" x14ac:dyDescent="0.25">
      <c r="A696" s="5">
        <v>45659</v>
      </c>
      <c r="B696" s="1" t="s">
        <v>15</v>
      </c>
      <c r="C696" s="1" t="s">
        <v>18</v>
      </c>
      <c r="D696" s="2">
        <v>0</v>
      </c>
      <c r="E696" s="3">
        <v>1</v>
      </c>
      <c r="F696" s="2">
        <v>9.9999000000000002</v>
      </c>
      <c r="G696" s="2">
        <v>0</v>
      </c>
      <c r="H696" s="2">
        <v>7.4999999999999997E-2</v>
      </c>
      <c r="I696" s="2">
        <v>0</v>
      </c>
      <c r="J696" s="2">
        <v>0</v>
      </c>
      <c r="K696" s="2">
        <v>0</v>
      </c>
      <c r="L696" s="4">
        <v>0.95</v>
      </c>
      <c r="M696" s="15"/>
    </row>
    <row r="697" spans="1:13" hidden="1" x14ac:dyDescent="0.25">
      <c r="A697" s="5">
        <v>45659</v>
      </c>
      <c r="B697" s="1" t="s">
        <v>19</v>
      </c>
      <c r="C697" s="1" t="s">
        <v>13</v>
      </c>
      <c r="D697" s="2">
        <v>0</v>
      </c>
      <c r="E697" s="3">
        <v>1</v>
      </c>
      <c r="F697" s="2">
        <v>7.2499999999999995E-2</v>
      </c>
      <c r="G697" s="2">
        <v>0</v>
      </c>
      <c r="H697" s="2">
        <v>0</v>
      </c>
      <c r="I697" s="2">
        <v>0</v>
      </c>
      <c r="J697" s="2">
        <v>0</v>
      </c>
      <c r="K697" s="2">
        <v>0</v>
      </c>
      <c r="L697" s="4">
        <v>0.95</v>
      </c>
      <c r="M697" s="15"/>
    </row>
    <row r="698" spans="1:13" hidden="1" x14ac:dyDescent="0.25">
      <c r="A698" s="5">
        <v>45659</v>
      </c>
      <c r="B698" s="1" t="s">
        <v>19</v>
      </c>
      <c r="C698" s="1" t="s">
        <v>16</v>
      </c>
      <c r="D698" s="2">
        <v>0</v>
      </c>
      <c r="E698" s="3">
        <v>1</v>
      </c>
      <c r="F698" s="2">
        <v>0.06</v>
      </c>
      <c r="G698" s="2">
        <v>1.4999999999999999E-2</v>
      </c>
      <c r="H698" s="2">
        <v>0</v>
      </c>
      <c r="I698" s="2">
        <v>0</v>
      </c>
      <c r="J698" s="2">
        <v>0</v>
      </c>
      <c r="K698" s="2">
        <v>0</v>
      </c>
      <c r="L698" s="4">
        <v>0.95</v>
      </c>
      <c r="M698" s="15"/>
    </row>
    <row r="699" spans="1:13" hidden="1" x14ac:dyDescent="0.25">
      <c r="A699" s="5">
        <v>45659</v>
      </c>
      <c r="B699" s="1" t="s">
        <v>19</v>
      </c>
      <c r="C699" s="1" t="s">
        <v>17</v>
      </c>
      <c r="D699" s="2">
        <v>0</v>
      </c>
      <c r="E699" s="3">
        <v>1</v>
      </c>
      <c r="F699" s="2">
        <v>9.9999000000000002</v>
      </c>
      <c r="G699" s="2">
        <v>0</v>
      </c>
      <c r="H699" s="2">
        <v>0</v>
      </c>
      <c r="I699" s="2">
        <v>0.09</v>
      </c>
      <c r="J699" s="2">
        <v>0</v>
      </c>
      <c r="K699" s="2">
        <v>0</v>
      </c>
      <c r="L699" s="4">
        <v>0.95</v>
      </c>
      <c r="M699" s="15"/>
    </row>
    <row r="700" spans="1:13" hidden="1" x14ac:dyDescent="0.25">
      <c r="A700" s="5">
        <v>45659</v>
      </c>
      <c r="B700" s="1" t="s">
        <v>19</v>
      </c>
      <c r="C700" s="1" t="s">
        <v>18</v>
      </c>
      <c r="D700" s="2">
        <v>0</v>
      </c>
      <c r="E700" s="3">
        <v>1</v>
      </c>
      <c r="F700" s="2">
        <v>9.9999000000000002</v>
      </c>
      <c r="G700" s="2">
        <v>0</v>
      </c>
      <c r="H700" s="2">
        <v>0.06</v>
      </c>
      <c r="I700" s="2">
        <v>0</v>
      </c>
      <c r="J700" s="2">
        <v>0</v>
      </c>
      <c r="K700" s="2">
        <v>0</v>
      </c>
      <c r="L700" s="4">
        <v>0.95</v>
      </c>
      <c r="M700" s="15"/>
    </row>
    <row r="701" spans="1:13" hidden="1" x14ac:dyDescent="0.25">
      <c r="A701" s="5">
        <v>45659</v>
      </c>
      <c r="B701" s="1" t="s">
        <v>20</v>
      </c>
      <c r="C701" s="1" t="s">
        <v>13</v>
      </c>
      <c r="D701" s="2">
        <v>0</v>
      </c>
      <c r="E701" s="3">
        <v>1</v>
      </c>
      <c r="F701" s="2">
        <v>9.7500000000000003E-2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4">
        <v>0.95</v>
      </c>
      <c r="M701" s="15"/>
    </row>
    <row r="702" spans="1:13" hidden="1" x14ac:dyDescent="0.25">
      <c r="A702" s="5">
        <v>45659</v>
      </c>
      <c r="B702" s="1" t="s">
        <v>20</v>
      </c>
      <c r="C702" s="1" t="s">
        <v>17</v>
      </c>
      <c r="D702" s="2">
        <v>0</v>
      </c>
      <c r="E702" s="3">
        <v>1</v>
      </c>
      <c r="F702" s="2">
        <v>9.9999000000000002</v>
      </c>
      <c r="G702" s="2">
        <v>0</v>
      </c>
      <c r="H702" s="2">
        <v>0</v>
      </c>
      <c r="I702" s="2">
        <v>0.08</v>
      </c>
      <c r="J702" s="2">
        <v>0</v>
      </c>
      <c r="K702" s="2">
        <v>0</v>
      </c>
      <c r="L702" s="4">
        <v>0.95</v>
      </c>
      <c r="M702" s="15"/>
    </row>
    <row r="703" spans="1:13" hidden="1" x14ac:dyDescent="0.25">
      <c r="A703" s="5">
        <v>45659</v>
      </c>
      <c r="B703" s="1" t="s">
        <v>20</v>
      </c>
      <c r="C703" s="1" t="s">
        <v>21</v>
      </c>
      <c r="D703" s="2">
        <v>0</v>
      </c>
      <c r="E703" s="3">
        <v>1</v>
      </c>
      <c r="F703" s="2">
        <v>0.12</v>
      </c>
      <c r="G703" s="2">
        <v>0</v>
      </c>
      <c r="H703" s="2">
        <v>0</v>
      </c>
      <c r="I703" s="2">
        <v>0</v>
      </c>
      <c r="J703" s="2">
        <v>4.1500000000000002E-2</v>
      </c>
      <c r="K703" s="2">
        <v>0.6</v>
      </c>
      <c r="L703" s="4">
        <v>0.95</v>
      </c>
      <c r="M703" s="15"/>
    </row>
    <row r="704" spans="1:13" hidden="1" x14ac:dyDescent="0.25">
      <c r="A704" s="5">
        <v>45659</v>
      </c>
      <c r="B704" s="1" t="s">
        <v>20</v>
      </c>
      <c r="C704" s="1" t="s">
        <v>22</v>
      </c>
      <c r="D704" s="2">
        <v>0</v>
      </c>
      <c r="E704" s="3">
        <v>1</v>
      </c>
      <c r="F704" s="2">
        <v>0.12</v>
      </c>
      <c r="G704" s="2">
        <v>0</v>
      </c>
      <c r="H704" s="2">
        <v>0</v>
      </c>
      <c r="I704" s="2">
        <v>0</v>
      </c>
      <c r="J704" s="2">
        <v>2.1499999999999998E-2</v>
      </c>
      <c r="K704" s="2">
        <v>0.24</v>
      </c>
      <c r="L704" s="4">
        <v>0.95</v>
      </c>
      <c r="M704" s="15"/>
    </row>
    <row r="705" spans="1:13" hidden="1" x14ac:dyDescent="0.25">
      <c r="A705" s="5">
        <v>45659</v>
      </c>
      <c r="B705" s="1" t="s">
        <v>23</v>
      </c>
      <c r="C705" s="1" t="s">
        <v>24</v>
      </c>
      <c r="D705" s="2">
        <v>0</v>
      </c>
      <c r="E705" s="3">
        <v>2.4</v>
      </c>
      <c r="F705" s="2">
        <v>9.9999000000000002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4">
        <v>0.95</v>
      </c>
      <c r="M705" s="15"/>
    </row>
    <row r="706" spans="1:13" hidden="1" x14ac:dyDescent="0.25">
      <c r="A706" s="5">
        <v>45659</v>
      </c>
      <c r="B706" s="1" t="s">
        <v>23</v>
      </c>
      <c r="C706" s="1" t="s">
        <v>25</v>
      </c>
      <c r="D706" s="2">
        <v>0</v>
      </c>
      <c r="E706" s="3">
        <v>1</v>
      </c>
      <c r="F706" s="2">
        <v>0.10249999999999999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4">
        <v>0.95</v>
      </c>
      <c r="M706" s="15"/>
    </row>
    <row r="707" spans="1:13" hidden="1" x14ac:dyDescent="0.25">
      <c r="A707" s="5">
        <v>45659</v>
      </c>
      <c r="B707" s="1" t="s">
        <v>23</v>
      </c>
      <c r="C707" s="1" t="s">
        <v>13</v>
      </c>
      <c r="D707" s="2">
        <v>0</v>
      </c>
      <c r="E707" s="3">
        <v>1</v>
      </c>
      <c r="F707" s="2">
        <v>0.10249999999999999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4">
        <v>0.95</v>
      </c>
      <c r="M707" s="15"/>
    </row>
    <row r="708" spans="1:13" hidden="1" x14ac:dyDescent="0.25">
      <c r="A708" s="5">
        <v>45659</v>
      </c>
      <c r="B708" s="1" t="s">
        <v>23</v>
      </c>
      <c r="C708" s="1" t="s">
        <v>17</v>
      </c>
      <c r="D708" s="2">
        <v>0</v>
      </c>
      <c r="E708" s="3">
        <v>1</v>
      </c>
      <c r="F708" s="2">
        <v>9.9999000000000002</v>
      </c>
      <c r="G708" s="2">
        <v>0</v>
      </c>
      <c r="H708" s="2">
        <v>0</v>
      </c>
      <c r="I708" s="2">
        <v>0.08</v>
      </c>
      <c r="J708" s="2">
        <v>0</v>
      </c>
      <c r="K708" s="2">
        <v>0</v>
      </c>
      <c r="L708" s="4">
        <v>0.95</v>
      </c>
      <c r="M708" s="15"/>
    </row>
    <row r="709" spans="1:13" hidden="1" x14ac:dyDescent="0.25">
      <c r="A709" s="5">
        <v>45659</v>
      </c>
      <c r="B709" s="1" t="s">
        <v>23</v>
      </c>
      <c r="C709" s="1" t="s">
        <v>21</v>
      </c>
      <c r="D709" s="2">
        <v>0</v>
      </c>
      <c r="E709" s="3">
        <v>1</v>
      </c>
      <c r="F709" s="2">
        <v>0.12</v>
      </c>
      <c r="G709" s="2">
        <v>0</v>
      </c>
      <c r="H709" s="2">
        <v>0</v>
      </c>
      <c r="I709" s="2">
        <v>0</v>
      </c>
      <c r="J709" s="2">
        <v>4.1500000000000002E-2</v>
      </c>
      <c r="K709" s="2">
        <v>0.6</v>
      </c>
      <c r="L709" s="4">
        <v>0.95</v>
      </c>
      <c r="M709" s="15"/>
    </row>
    <row r="710" spans="1:13" hidden="1" x14ac:dyDescent="0.25">
      <c r="A710" s="5">
        <v>45659</v>
      </c>
      <c r="B710" s="1" t="s">
        <v>23</v>
      </c>
      <c r="C710" s="1" t="s">
        <v>22</v>
      </c>
      <c r="D710" s="2">
        <v>0</v>
      </c>
      <c r="E710" s="3">
        <v>1</v>
      </c>
      <c r="F710" s="2">
        <v>0.12</v>
      </c>
      <c r="G710" s="2">
        <v>0</v>
      </c>
      <c r="H710" s="2">
        <v>0</v>
      </c>
      <c r="I710" s="2">
        <v>0</v>
      </c>
      <c r="J710" s="2">
        <v>2.1499999999999998E-2</v>
      </c>
      <c r="K710" s="2">
        <v>0.24</v>
      </c>
      <c r="L710" s="4">
        <v>0.95</v>
      </c>
      <c r="M710" s="15"/>
    </row>
    <row r="711" spans="1:13" hidden="1" x14ac:dyDescent="0.25">
      <c r="A711" s="5">
        <v>45659</v>
      </c>
      <c r="B711" s="1" t="s">
        <v>26</v>
      </c>
      <c r="C711" s="1" t="s">
        <v>24</v>
      </c>
      <c r="D711" s="2">
        <v>0</v>
      </c>
      <c r="E711" s="3">
        <v>2.4</v>
      </c>
      <c r="F711" s="2">
        <v>9.9999000000000002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4">
        <v>0.95</v>
      </c>
      <c r="M711" s="15"/>
    </row>
    <row r="712" spans="1:13" hidden="1" x14ac:dyDescent="0.25">
      <c r="A712" s="5">
        <v>45659</v>
      </c>
      <c r="B712" s="1" t="s">
        <v>26</v>
      </c>
      <c r="C712" s="1" t="s">
        <v>25</v>
      </c>
      <c r="D712" s="2">
        <v>0</v>
      </c>
      <c r="E712" s="3">
        <v>1</v>
      </c>
      <c r="F712" s="2">
        <v>0.1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4">
        <v>0.95</v>
      </c>
      <c r="M712" s="15"/>
    </row>
    <row r="713" spans="1:13" hidden="1" x14ac:dyDescent="0.25">
      <c r="A713" s="5">
        <v>45659</v>
      </c>
      <c r="B713" s="1" t="s">
        <v>26</v>
      </c>
      <c r="C713" s="1" t="s">
        <v>13</v>
      </c>
      <c r="D713" s="2">
        <v>0</v>
      </c>
      <c r="E713" s="3">
        <v>1</v>
      </c>
      <c r="F713" s="2">
        <v>0.1</v>
      </c>
      <c r="G713" s="2">
        <v>0</v>
      </c>
      <c r="H713" s="2">
        <v>0</v>
      </c>
      <c r="I713" s="2">
        <v>0</v>
      </c>
      <c r="J713" s="2">
        <v>0</v>
      </c>
      <c r="K713" s="2">
        <v>0</v>
      </c>
      <c r="L713" s="4">
        <v>0.95</v>
      </c>
      <c r="M713" s="15"/>
    </row>
    <row r="714" spans="1:13" hidden="1" x14ac:dyDescent="0.25">
      <c r="A714" s="5">
        <v>45659</v>
      </c>
      <c r="B714" s="1" t="s">
        <v>26</v>
      </c>
      <c r="C714" s="1" t="s">
        <v>17</v>
      </c>
      <c r="D714" s="2">
        <v>0</v>
      </c>
      <c r="E714" s="3">
        <v>1</v>
      </c>
      <c r="F714" s="2">
        <v>9.9999000000000002</v>
      </c>
      <c r="G714" s="2">
        <v>0</v>
      </c>
      <c r="H714" s="2">
        <v>0</v>
      </c>
      <c r="I714" s="2">
        <v>0.08</v>
      </c>
      <c r="J714" s="2">
        <v>0</v>
      </c>
      <c r="K714" s="2">
        <v>0</v>
      </c>
      <c r="L714" s="4">
        <v>0.95</v>
      </c>
      <c r="M714" s="15"/>
    </row>
    <row r="715" spans="1:13" hidden="1" x14ac:dyDescent="0.25">
      <c r="A715" s="5">
        <v>45659</v>
      </c>
      <c r="B715" s="1" t="s">
        <v>26</v>
      </c>
      <c r="C715" s="1" t="s">
        <v>21</v>
      </c>
      <c r="D715" s="2">
        <v>0</v>
      </c>
      <c r="E715" s="3">
        <v>1</v>
      </c>
      <c r="F715" s="2">
        <v>0.12</v>
      </c>
      <c r="G715" s="2">
        <v>0</v>
      </c>
      <c r="H715" s="2">
        <v>0</v>
      </c>
      <c r="I715" s="2">
        <v>0</v>
      </c>
      <c r="J715" s="2">
        <v>4.1500000000000002E-2</v>
      </c>
      <c r="K715" s="2">
        <v>0.6</v>
      </c>
      <c r="L715" s="4">
        <v>0.95</v>
      </c>
      <c r="M715" s="15"/>
    </row>
    <row r="716" spans="1:13" hidden="1" x14ac:dyDescent="0.25">
      <c r="A716" s="5">
        <v>45659</v>
      </c>
      <c r="B716" s="1" t="s">
        <v>26</v>
      </c>
      <c r="C716" s="1" t="s">
        <v>22</v>
      </c>
      <c r="D716" s="2">
        <v>0</v>
      </c>
      <c r="E716" s="3">
        <v>1</v>
      </c>
      <c r="F716" s="2">
        <v>0.12</v>
      </c>
      <c r="G716" s="2">
        <v>0</v>
      </c>
      <c r="H716" s="2">
        <v>0</v>
      </c>
      <c r="I716" s="2">
        <v>0</v>
      </c>
      <c r="J716" s="2">
        <v>2.1499999999999998E-2</v>
      </c>
      <c r="K716" s="2">
        <v>0.24</v>
      </c>
      <c r="L716" s="4">
        <v>0.95</v>
      </c>
      <c r="M716" s="15"/>
    </row>
    <row r="717" spans="1:13" hidden="1" x14ac:dyDescent="0.25">
      <c r="A717" s="5">
        <v>45659</v>
      </c>
      <c r="B717" s="1" t="s">
        <v>27</v>
      </c>
      <c r="C717" s="1" t="s">
        <v>13</v>
      </c>
      <c r="D717" s="2">
        <v>0</v>
      </c>
      <c r="E717" s="3">
        <v>1</v>
      </c>
      <c r="F717" s="2">
        <v>9.2499999999999999E-2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4">
        <v>0.95</v>
      </c>
      <c r="M717" s="15"/>
    </row>
    <row r="718" spans="1:13" hidden="1" x14ac:dyDescent="0.25">
      <c r="A718" s="5">
        <v>45659</v>
      </c>
      <c r="B718" s="1" t="s">
        <v>27</v>
      </c>
      <c r="C718" s="1" t="s">
        <v>17</v>
      </c>
      <c r="D718" s="2">
        <v>0</v>
      </c>
      <c r="E718" s="3">
        <v>1</v>
      </c>
      <c r="F718" s="2">
        <v>9.9999000000000002</v>
      </c>
      <c r="G718" s="2">
        <v>0</v>
      </c>
      <c r="H718" s="2">
        <v>0</v>
      </c>
      <c r="I718" s="2">
        <v>0.09</v>
      </c>
      <c r="J718" s="2">
        <v>0</v>
      </c>
      <c r="K718" s="2">
        <v>0</v>
      </c>
      <c r="L718" s="4">
        <v>0.95</v>
      </c>
      <c r="M718" s="15"/>
    </row>
    <row r="719" spans="1:13" hidden="1" x14ac:dyDescent="0.25">
      <c r="A719" s="5">
        <v>45659</v>
      </c>
      <c r="B719" s="1" t="s">
        <v>27</v>
      </c>
      <c r="C719" s="1" t="s">
        <v>24</v>
      </c>
      <c r="D719" s="2">
        <v>0</v>
      </c>
      <c r="E719" s="3">
        <v>2.2000000000000002</v>
      </c>
      <c r="F719" s="2">
        <v>9.9999000000000002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4">
        <v>0.95</v>
      </c>
      <c r="M719" s="15"/>
    </row>
    <row r="720" spans="1:13" hidden="1" x14ac:dyDescent="0.25">
      <c r="A720" s="5">
        <v>45659</v>
      </c>
      <c r="B720" s="1" t="s">
        <v>27</v>
      </c>
      <c r="C720" s="1" t="s">
        <v>25</v>
      </c>
      <c r="D720" s="2">
        <v>0</v>
      </c>
      <c r="E720" s="3">
        <v>1</v>
      </c>
      <c r="F720" s="2">
        <v>9.2499999999999999E-2</v>
      </c>
      <c r="G720" s="2">
        <v>0</v>
      </c>
      <c r="H720" s="2">
        <v>0</v>
      </c>
      <c r="I720" s="2">
        <v>0</v>
      </c>
      <c r="J720" s="2">
        <v>0</v>
      </c>
      <c r="K720" s="2">
        <v>0</v>
      </c>
      <c r="L720" s="4">
        <v>0.95</v>
      </c>
      <c r="M720" s="15"/>
    </row>
    <row r="721" spans="1:13" hidden="1" x14ac:dyDescent="0.25">
      <c r="A721" s="5">
        <v>45659</v>
      </c>
      <c r="B721" s="1" t="s">
        <v>30</v>
      </c>
      <c r="C721" s="1" t="s">
        <v>13</v>
      </c>
      <c r="D721" s="2">
        <v>0</v>
      </c>
      <c r="E721" s="3">
        <v>1</v>
      </c>
      <c r="F721" s="2">
        <v>9.5000000000000001E-2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4">
        <v>0.95</v>
      </c>
      <c r="M721" s="15"/>
    </row>
    <row r="722" spans="1:13" hidden="1" x14ac:dyDescent="0.25">
      <c r="A722" s="5">
        <v>45659</v>
      </c>
      <c r="B722" s="1" t="s">
        <v>30</v>
      </c>
      <c r="C722" s="1" t="s">
        <v>17</v>
      </c>
      <c r="D722" s="2">
        <v>0</v>
      </c>
      <c r="E722" s="3">
        <v>1</v>
      </c>
      <c r="F722" s="2">
        <v>9.9999000000000002</v>
      </c>
      <c r="G722" s="2">
        <v>0</v>
      </c>
      <c r="H722" s="2">
        <v>0</v>
      </c>
      <c r="I722" s="2">
        <v>0.09</v>
      </c>
      <c r="J722" s="2">
        <v>0</v>
      </c>
      <c r="K722" s="2">
        <v>0</v>
      </c>
      <c r="L722" s="4">
        <v>0.95</v>
      </c>
      <c r="M722" s="15"/>
    </row>
    <row r="723" spans="1:13" hidden="1" x14ac:dyDescent="0.25">
      <c r="A723" s="5">
        <v>45659</v>
      </c>
      <c r="B723" s="1" t="s">
        <v>30</v>
      </c>
      <c r="C723" s="1" t="s">
        <v>24</v>
      </c>
      <c r="D723" s="2">
        <v>0</v>
      </c>
      <c r="E723" s="3">
        <v>2.2000000000000002</v>
      </c>
      <c r="F723" s="2">
        <v>9.9999000000000002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4">
        <v>0.95</v>
      </c>
      <c r="M723" s="15"/>
    </row>
    <row r="724" spans="1:13" hidden="1" x14ac:dyDescent="0.25">
      <c r="A724" s="5">
        <v>45659</v>
      </c>
      <c r="B724" s="1" t="s">
        <v>30</v>
      </c>
      <c r="C724" s="1" t="s">
        <v>25</v>
      </c>
      <c r="D724" s="2">
        <v>0</v>
      </c>
      <c r="E724" s="3">
        <v>1</v>
      </c>
      <c r="F724" s="2">
        <v>9.5000000000000001E-2</v>
      </c>
      <c r="G724" s="2">
        <v>0</v>
      </c>
      <c r="H724" s="2">
        <v>0</v>
      </c>
      <c r="I724" s="2">
        <v>0</v>
      </c>
      <c r="J724" s="2">
        <v>0</v>
      </c>
      <c r="K724" s="2">
        <v>0</v>
      </c>
      <c r="L724" s="4">
        <v>0.95</v>
      </c>
      <c r="M724" s="15"/>
    </row>
    <row r="725" spans="1:13" hidden="1" x14ac:dyDescent="0.25">
      <c r="A725" s="5">
        <v>45659</v>
      </c>
      <c r="B725" s="1" t="s">
        <v>28</v>
      </c>
      <c r="C725" s="1" t="s">
        <v>13</v>
      </c>
      <c r="D725" s="2">
        <v>0</v>
      </c>
      <c r="E725" s="3">
        <v>1</v>
      </c>
      <c r="F725" s="2">
        <v>8.5000000000000006E-2</v>
      </c>
      <c r="G725" s="2">
        <v>0</v>
      </c>
      <c r="H725" s="2">
        <v>0</v>
      </c>
      <c r="I725" s="2">
        <v>0</v>
      </c>
      <c r="J725" s="2">
        <v>0</v>
      </c>
      <c r="K725" s="2">
        <v>0</v>
      </c>
      <c r="L725" s="4">
        <v>0.95</v>
      </c>
      <c r="M725" s="15"/>
    </row>
    <row r="726" spans="1:13" hidden="1" x14ac:dyDescent="0.25">
      <c r="A726" s="5">
        <v>45659</v>
      </c>
      <c r="B726" s="1" t="s">
        <v>28</v>
      </c>
      <c r="C726" s="1" t="s">
        <v>16</v>
      </c>
      <c r="D726" s="2">
        <v>0</v>
      </c>
      <c r="E726" s="3">
        <v>1</v>
      </c>
      <c r="F726" s="2">
        <v>7.0000000000000007E-2</v>
      </c>
      <c r="G726" s="2">
        <v>1.4999999999999999E-2</v>
      </c>
      <c r="H726" s="2">
        <v>0</v>
      </c>
      <c r="I726" s="2">
        <v>0</v>
      </c>
      <c r="J726" s="2">
        <v>0</v>
      </c>
      <c r="K726" s="2">
        <v>0</v>
      </c>
      <c r="L726" s="4">
        <v>0.95</v>
      </c>
      <c r="M726" s="15"/>
    </row>
    <row r="727" spans="1:13" hidden="1" x14ac:dyDescent="0.25">
      <c r="A727" s="5">
        <v>45659</v>
      </c>
      <c r="B727" s="1" t="s">
        <v>28</v>
      </c>
      <c r="C727" s="1" t="s">
        <v>17</v>
      </c>
      <c r="D727" s="2">
        <v>0</v>
      </c>
      <c r="E727" s="3">
        <v>1</v>
      </c>
      <c r="F727" s="2">
        <v>9.9999000000000002</v>
      </c>
      <c r="G727" s="2">
        <v>0</v>
      </c>
      <c r="H727" s="2">
        <v>0</v>
      </c>
      <c r="I727" s="2">
        <v>7.7499999999999999E-2</v>
      </c>
      <c r="J727" s="2">
        <v>0</v>
      </c>
      <c r="K727" s="2">
        <v>0</v>
      </c>
      <c r="L727" s="4">
        <v>0.95</v>
      </c>
      <c r="M727" s="15"/>
    </row>
    <row r="728" spans="1:13" hidden="1" x14ac:dyDescent="0.25">
      <c r="A728" s="5">
        <v>45659</v>
      </c>
      <c r="B728" s="1" t="s">
        <v>28</v>
      </c>
      <c r="C728" s="1" t="s">
        <v>18</v>
      </c>
      <c r="D728" s="2">
        <v>0</v>
      </c>
      <c r="E728" s="3">
        <v>1</v>
      </c>
      <c r="F728" s="2">
        <v>9.9999000000000002</v>
      </c>
      <c r="G728" s="2">
        <v>0</v>
      </c>
      <c r="H728" s="2">
        <v>6.8500000000000005E-2</v>
      </c>
      <c r="I728" s="2">
        <v>0</v>
      </c>
      <c r="J728" s="2">
        <v>0</v>
      </c>
      <c r="K728" s="2">
        <v>0</v>
      </c>
      <c r="L728" s="4">
        <v>0.95</v>
      </c>
      <c r="M728" s="15"/>
    </row>
    <row r="729" spans="1:13" hidden="1" x14ac:dyDescent="0.25">
      <c r="A729" s="5">
        <v>45659</v>
      </c>
      <c r="B729" s="1" t="s">
        <v>29</v>
      </c>
      <c r="C729" s="1" t="s">
        <v>13</v>
      </c>
      <c r="D729" s="2">
        <v>0</v>
      </c>
      <c r="E729" s="3">
        <v>1</v>
      </c>
      <c r="F729" s="2">
        <v>7.7499999999999999E-2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4">
        <v>0.95</v>
      </c>
      <c r="M729" s="15"/>
    </row>
    <row r="730" spans="1:13" hidden="1" x14ac:dyDescent="0.25">
      <c r="A730" s="5">
        <v>45659</v>
      </c>
      <c r="B730" s="1" t="s">
        <v>29</v>
      </c>
      <c r="C730" s="1" t="s">
        <v>16</v>
      </c>
      <c r="D730" s="2">
        <v>0</v>
      </c>
      <c r="E730" s="3">
        <v>1</v>
      </c>
      <c r="F730" s="2">
        <v>5.7500000000000002E-2</v>
      </c>
      <c r="G730" s="2">
        <v>1.4999999999999999E-2</v>
      </c>
      <c r="H730" s="2">
        <v>0</v>
      </c>
      <c r="I730" s="2">
        <v>0</v>
      </c>
      <c r="J730" s="2">
        <v>0</v>
      </c>
      <c r="K730" s="2">
        <v>0</v>
      </c>
      <c r="L730" s="4">
        <v>0.95</v>
      </c>
      <c r="M730" s="15"/>
    </row>
    <row r="731" spans="1:13" hidden="1" x14ac:dyDescent="0.25">
      <c r="A731" s="5">
        <v>45659</v>
      </c>
      <c r="B731" s="1" t="s">
        <v>29</v>
      </c>
      <c r="C731" s="1" t="s">
        <v>17</v>
      </c>
      <c r="D731" s="2">
        <v>0</v>
      </c>
      <c r="E731" s="3">
        <v>1</v>
      </c>
      <c r="F731" s="2">
        <v>9.9999000000000002</v>
      </c>
      <c r="G731" s="2">
        <v>0</v>
      </c>
      <c r="H731" s="2">
        <v>0</v>
      </c>
      <c r="I731" s="2">
        <v>8.6999999999999994E-2</v>
      </c>
      <c r="J731" s="2">
        <v>0</v>
      </c>
      <c r="K731" s="2">
        <v>0</v>
      </c>
      <c r="L731" s="4">
        <v>0.95</v>
      </c>
      <c r="M731" s="15"/>
    </row>
    <row r="732" spans="1:13" hidden="1" x14ac:dyDescent="0.25">
      <c r="A732" s="5">
        <v>45659</v>
      </c>
      <c r="B732" s="1" t="s">
        <v>29</v>
      </c>
      <c r="C732" s="1" t="s">
        <v>18</v>
      </c>
      <c r="D732" s="2">
        <v>0</v>
      </c>
      <c r="E732" s="3">
        <v>1</v>
      </c>
      <c r="F732" s="2">
        <v>9.9999000000000002</v>
      </c>
      <c r="G732" s="2">
        <v>0</v>
      </c>
      <c r="H732" s="2">
        <v>0.06</v>
      </c>
      <c r="I732" s="2">
        <v>0</v>
      </c>
      <c r="J732" s="2">
        <v>0</v>
      </c>
      <c r="K732" s="2">
        <v>0</v>
      </c>
      <c r="L732" s="4">
        <v>0.95</v>
      </c>
      <c r="M732" s="15"/>
    </row>
  </sheetData>
  <autoFilter ref="A1:P732" xr:uid="{E5C76BE0-AC0A-4ECF-A62B-48A0540FD063}">
    <filterColumn colId="0">
      <filters>
        <dateGroupItem year="2024" month="11" dateTimeGrouping="month"/>
      </filters>
    </filterColumn>
    <filterColumn colId="2">
      <filters>
        <filter val="MARPRT"/>
        <filter val="NASIDX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376CB-FDB0-4261-979F-9EC347A5ADD5}">
  <dimension ref="A1:AB29"/>
  <sheetViews>
    <sheetView showGridLines="0" tabSelected="1" workbookViewId="0">
      <selection activeCell="C30" sqref="C30"/>
    </sheetView>
  </sheetViews>
  <sheetFormatPr defaultRowHeight="15" x14ac:dyDescent="0.25"/>
  <cols>
    <col min="1" max="1" width="7.42578125" bestFit="1" customWidth="1"/>
    <col min="2" max="2" width="10.85546875" bestFit="1" customWidth="1"/>
    <col min="3" max="3" width="8" bestFit="1" customWidth="1"/>
    <col min="4" max="4" width="8.85546875" bestFit="1" customWidth="1"/>
    <col min="5" max="5" width="16.140625" bestFit="1" customWidth="1"/>
    <col min="6" max="6" width="40" bestFit="1" customWidth="1"/>
    <col min="7" max="7" width="10.85546875" bestFit="1" customWidth="1"/>
    <col min="8" max="8" width="7.140625" bestFit="1" customWidth="1"/>
    <col min="9" max="9" width="9.140625" bestFit="1" customWidth="1"/>
    <col min="10" max="10" width="7.28515625" bestFit="1" customWidth="1"/>
    <col min="11" max="11" width="12.85546875" bestFit="1" customWidth="1"/>
    <col min="12" max="12" width="14.42578125" bestFit="1" customWidth="1"/>
    <col min="16" max="16" width="10.85546875" bestFit="1" customWidth="1"/>
  </cols>
  <sheetData>
    <row r="1" spans="1:26" x14ac:dyDescent="0.25">
      <c r="A1" s="22" t="s">
        <v>76</v>
      </c>
      <c r="B1" s="22" t="s">
        <v>0</v>
      </c>
      <c r="C1" s="22" t="s">
        <v>77</v>
      </c>
      <c r="D1" s="22" t="s">
        <v>2</v>
      </c>
      <c r="E1" s="22" t="s">
        <v>78</v>
      </c>
      <c r="F1" s="22" t="s">
        <v>79</v>
      </c>
      <c r="G1" s="22" t="s">
        <v>80</v>
      </c>
      <c r="H1" s="22" t="s">
        <v>81</v>
      </c>
      <c r="I1" s="22" t="s">
        <v>82</v>
      </c>
      <c r="J1" s="22" t="s">
        <v>3</v>
      </c>
      <c r="K1" s="22" t="s">
        <v>83</v>
      </c>
      <c r="L1" s="22" t="s">
        <v>84</v>
      </c>
      <c r="M1" s="46" t="s">
        <v>98</v>
      </c>
      <c r="N1" s="46" t="s">
        <v>99</v>
      </c>
      <c r="P1" s="16" t="s">
        <v>0</v>
      </c>
      <c r="Q1" s="16" t="s">
        <v>2</v>
      </c>
      <c r="R1" s="18" t="s">
        <v>3</v>
      </c>
      <c r="S1" s="19" t="s">
        <v>4</v>
      </c>
      <c r="T1" s="18" t="s">
        <v>5</v>
      </c>
      <c r="U1" s="18" t="s">
        <v>6</v>
      </c>
      <c r="V1" s="18" t="s">
        <v>7</v>
      </c>
      <c r="W1" s="18" t="s">
        <v>8</v>
      </c>
      <c r="X1" s="18" t="s">
        <v>9</v>
      </c>
      <c r="Y1" s="18" t="s">
        <v>10</v>
      </c>
      <c r="Z1" s="45" t="s">
        <v>81</v>
      </c>
    </row>
    <row r="2" spans="1:26" x14ac:dyDescent="0.25">
      <c r="A2" s="9">
        <v>3</v>
      </c>
      <c r="B2" s="10">
        <v>45597</v>
      </c>
      <c r="C2" s="9">
        <v>1</v>
      </c>
      <c r="D2" s="9" t="s">
        <v>13</v>
      </c>
      <c r="E2" s="9" t="s">
        <v>88</v>
      </c>
      <c r="F2" s="9" t="s">
        <v>89</v>
      </c>
      <c r="G2" s="9" t="s">
        <v>87</v>
      </c>
      <c r="H2" s="9">
        <v>1</v>
      </c>
      <c r="I2" s="44">
        <v>7.2499999999999995E-2</v>
      </c>
      <c r="J2" s="44">
        <v>4.24E-2</v>
      </c>
      <c r="K2" s="42">
        <v>215518.40599999999</v>
      </c>
      <c r="L2" s="43">
        <v>4.5321240304854902E-3</v>
      </c>
      <c r="M2" t="b">
        <f>I2=T2</f>
        <v>1</v>
      </c>
      <c r="N2" t="b">
        <f>H2=Z2</f>
        <v>1</v>
      </c>
      <c r="P2" s="5">
        <v>45597</v>
      </c>
      <c r="Q2" s="1" t="s">
        <v>13</v>
      </c>
      <c r="R2" s="2">
        <v>4.24E-2</v>
      </c>
      <c r="S2" s="3">
        <v>1</v>
      </c>
      <c r="T2" s="2">
        <v>7.2499999999999995E-2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15">
        <f>(1+U2+W2)</f>
        <v>1</v>
      </c>
    </row>
    <row r="3" spans="1:26" x14ac:dyDescent="0.25">
      <c r="A3" s="9">
        <v>9</v>
      </c>
      <c r="B3" s="10">
        <v>45597</v>
      </c>
      <c r="C3" s="9">
        <v>26</v>
      </c>
      <c r="D3" s="9" t="s">
        <v>13</v>
      </c>
      <c r="E3" s="9" t="s">
        <v>88</v>
      </c>
      <c r="F3" s="9" t="s">
        <v>89</v>
      </c>
      <c r="G3" s="9" t="s">
        <v>87</v>
      </c>
      <c r="H3" s="9">
        <v>1</v>
      </c>
      <c r="I3" s="44">
        <v>7.7499999999999999E-2</v>
      </c>
      <c r="J3" s="44">
        <v>4.48E-2</v>
      </c>
      <c r="K3" s="42">
        <v>74923.703200000004</v>
      </c>
      <c r="L3" s="43">
        <v>1.5755661988595101E-3</v>
      </c>
      <c r="M3" t="b">
        <f t="shared" ref="M3:M24" si="0">I3=T3</f>
        <v>1</v>
      </c>
      <c r="N3" t="b">
        <f t="shared" ref="N3:N24" si="1">H3=Z3</f>
        <v>1</v>
      </c>
      <c r="P3" s="5">
        <v>45597</v>
      </c>
      <c r="Q3" s="1" t="s">
        <v>13</v>
      </c>
      <c r="R3" s="2">
        <v>4.48E-2</v>
      </c>
      <c r="S3" s="3">
        <v>1</v>
      </c>
      <c r="T3" s="2">
        <v>7.7499999999999999E-2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15">
        <f>(1+U3+W3)</f>
        <v>1</v>
      </c>
    </row>
    <row r="4" spans="1:26" x14ac:dyDescent="0.25">
      <c r="A4" s="9">
        <v>10</v>
      </c>
      <c r="B4" s="10">
        <v>45597</v>
      </c>
      <c r="C4" s="9">
        <v>26</v>
      </c>
      <c r="D4" s="9" t="s">
        <v>13</v>
      </c>
      <c r="E4" s="9" t="s">
        <v>88</v>
      </c>
      <c r="F4" s="9" t="s">
        <v>89</v>
      </c>
      <c r="G4" s="9" t="s">
        <v>87</v>
      </c>
      <c r="H4" s="9">
        <v>1</v>
      </c>
      <c r="I4" s="44">
        <v>8.5000000000000006E-2</v>
      </c>
      <c r="J4" s="44">
        <v>4.82E-2</v>
      </c>
      <c r="K4" s="42">
        <v>509132.5956</v>
      </c>
      <c r="L4" s="43">
        <v>1.07065197541513E-2</v>
      </c>
      <c r="M4" t="b">
        <f t="shared" si="0"/>
        <v>1</v>
      </c>
      <c r="N4" t="b">
        <f t="shared" si="1"/>
        <v>1</v>
      </c>
      <c r="P4" s="5">
        <v>45597</v>
      </c>
      <c r="Q4" s="1" t="s">
        <v>13</v>
      </c>
      <c r="R4" s="2">
        <v>4.82E-2</v>
      </c>
      <c r="S4" s="3">
        <v>1</v>
      </c>
      <c r="T4" s="2">
        <v>8.5000000000000006E-2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15">
        <f>(1+U4+W4)</f>
        <v>1</v>
      </c>
    </row>
    <row r="5" spans="1:26" x14ac:dyDescent="0.25">
      <c r="A5" s="9">
        <v>4</v>
      </c>
      <c r="B5" s="10">
        <v>45597</v>
      </c>
      <c r="C5" s="9">
        <v>1</v>
      </c>
      <c r="D5" s="9" t="s">
        <v>13</v>
      </c>
      <c r="E5" s="9" t="s">
        <v>88</v>
      </c>
      <c r="F5" s="9" t="s">
        <v>89</v>
      </c>
      <c r="G5" s="9" t="s">
        <v>87</v>
      </c>
      <c r="H5" s="9">
        <v>1</v>
      </c>
      <c r="I5" s="44">
        <v>9.2499999999999999E-2</v>
      </c>
      <c r="J5" s="44">
        <v>5.1499999999999997E-2</v>
      </c>
      <c r="K5" s="42">
        <v>649431.951</v>
      </c>
      <c r="L5" s="43">
        <v>1.3656866742472899E-2</v>
      </c>
      <c r="M5" t="b">
        <f t="shared" si="0"/>
        <v>1</v>
      </c>
      <c r="N5" t="b">
        <f t="shared" si="1"/>
        <v>1</v>
      </c>
      <c r="P5" s="5">
        <v>45597</v>
      </c>
      <c r="Q5" s="1" t="s">
        <v>13</v>
      </c>
      <c r="R5" s="2">
        <v>5.1499999999999997E-2</v>
      </c>
      <c r="S5" s="3">
        <v>1</v>
      </c>
      <c r="T5" s="2">
        <v>9.2499999999999999E-2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15">
        <f>(1+U5+W5)</f>
        <v>1</v>
      </c>
    </row>
    <row r="6" spans="1:26" x14ac:dyDescent="0.25">
      <c r="A6" s="9">
        <v>5</v>
      </c>
      <c r="B6" s="10">
        <v>45597</v>
      </c>
      <c r="C6" s="9">
        <v>1</v>
      </c>
      <c r="D6" s="9" t="s">
        <v>13</v>
      </c>
      <c r="E6" s="9" t="s">
        <v>88</v>
      </c>
      <c r="F6" s="9" t="s">
        <v>89</v>
      </c>
      <c r="G6" s="9" t="s">
        <v>87</v>
      </c>
      <c r="H6" s="9">
        <v>1</v>
      </c>
      <c r="I6" s="44">
        <v>9.5000000000000001E-2</v>
      </c>
      <c r="J6" s="44">
        <v>5.2499999999999998E-2</v>
      </c>
      <c r="K6" s="42">
        <v>182.11499999999899</v>
      </c>
      <c r="L6" s="43">
        <v>3.82968574763802E-6</v>
      </c>
      <c r="M6" t="b">
        <f t="shared" si="0"/>
        <v>1</v>
      </c>
      <c r="N6" t="b">
        <f t="shared" si="1"/>
        <v>1</v>
      </c>
      <c r="P6" s="5">
        <v>45597</v>
      </c>
      <c r="Q6" s="1" t="s">
        <v>13</v>
      </c>
      <c r="R6" s="2">
        <v>5.2499999999999998E-2</v>
      </c>
      <c r="S6" s="3">
        <v>1</v>
      </c>
      <c r="T6" s="2">
        <v>9.5000000000000001E-2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15">
        <f>(1+U6+W6)</f>
        <v>1</v>
      </c>
    </row>
    <row r="7" spans="1:26" x14ac:dyDescent="0.25">
      <c r="A7" s="9">
        <v>6</v>
      </c>
      <c r="B7" s="10">
        <v>45597</v>
      </c>
      <c r="C7" s="9">
        <v>1</v>
      </c>
      <c r="D7" s="9" t="s">
        <v>13</v>
      </c>
      <c r="E7" s="9" t="s">
        <v>88</v>
      </c>
      <c r="F7" s="9" t="s">
        <v>89</v>
      </c>
      <c r="G7" s="9" t="s">
        <v>87</v>
      </c>
      <c r="H7" s="9">
        <v>1</v>
      </c>
      <c r="I7" s="44">
        <v>9.7500000000000003E-2</v>
      </c>
      <c r="J7" s="44">
        <v>5.3499999999999999E-2</v>
      </c>
      <c r="K7" s="42">
        <v>40814510.327500001</v>
      </c>
      <c r="L7" s="43">
        <v>0.85828596490158204</v>
      </c>
      <c r="M7" t="b">
        <f t="shared" si="0"/>
        <v>1</v>
      </c>
      <c r="N7" t="b">
        <f t="shared" si="1"/>
        <v>1</v>
      </c>
      <c r="P7" s="5">
        <v>45597</v>
      </c>
      <c r="Q7" s="1" t="s">
        <v>13</v>
      </c>
      <c r="R7" s="2">
        <v>5.3499999999999999E-2</v>
      </c>
      <c r="S7" s="3">
        <v>1</v>
      </c>
      <c r="T7" s="2">
        <v>9.7500000000000003E-2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15">
        <f>(1+U7+W7)</f>
        <v>1</v>
      </c>
    </row>
    <row r="8" spans="1:26" x14ac:dyDescent="0.25">
      <c r="A8" s="9">
        <v>7</v>
      </c>
      <c r="B8" s="10">
        <v>45597</v>
      </c>
      <c r="C8" s="9">
        <v>1</v>
      </c>
      <c r="D8" s="9" t="s">
        <v>13</v>
      </c>
      <c r="E8" s="9" t="s">
        <v>88</v>
      </c>
      <c r="F8" s="9" t="s">
        <v>89</v>
      </c>
      <c r="G8" s="9" t="s">
        <v>87</v>
      </c>
      <c r="H8" s="9">
        <v>1</v>
      </c>
      <c r="I8" s="44">
        <v>0.1</v>
      </c>
      <c r="J8" s="44">
        <v>5.45E-2</v>
      </c>
      <c r="K8" s="42">
        <v>1133262.2009999999</v>
      </c>
      <c r="L8" s="43">
        <v>2.3831304941968501E-2</v>
      </c>
      <c r="M8" t="b">
        <f t="shared" si="0"/>
        <v>1</v>
      </c>
      <c r="N8" t="b">
        <f t="shared" si="1"/>
        <v>1</v>
      </c>
      <c r="P8" s="5">
        <v>45597</v>
      </c>
      <c r="Q8" s="1" t="s">
        <v>13</v>
      </c>
      <c r="R8" s="2">
        <v>5.45E-2</v>
      </c>
      <c r="S8" s="3">
        <v>1</v>
      </c>
      <c r="T8" s="2">
        <v>0.1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15">
        <f>(1+U8+W8)</f>
        <v>1</v>
      </c>
    </row>
    <row r="9" spans="1:26" x14ac:dyDescent="0.25">
      <c r="A9" s="9">
        <v>8</v>
      </c>
      <c r="B9" s="10">
        <v>45597</v>
      </c>
      <c r="C9" s="9">
        <v>1</v>
      </c>
      <c r="D9" s="9" t="s">
        <v>13</v>
      </c>
      <c r="E9" s="9" t="s">
        <v>88</v>
      </c>
      <c r="F9" s="9" t="s">
        <v>89</v>
      </c>
      <c r="G9" s="9" t="s">
        <v>87</v>
      </c>
      <c r="H9" s="9">
        <v>1</v>
      </c>
      <c r="I9" s="44">
        <v>0.10249999999999999</v>
      </c>
      <c r="J9" s="44">
        <v>5.5399999999999998E-2</v>
      </c>
      <c r="K9" s="42">
        <v>4156548.8319999999</v>
      </c>
      <c r="L9" s="43">
        <v>8.7407823744731994E-2</v>
      </c>
      <c r="M9" t="b">
        <f t="shared" si="0"/>
        <v>1</v>
      </c>
      <c r="N9" t="b">
        <f t="shared" si="1"/>
        <v>1</v>
      </c>
      <c r="P9" s="5">
        <v>45597</v>
      </c>
      <c r="Q9" s="1" t="s">
        <v>13</v>
      </c>
      <c r="R9" s="2">
        <v>5.5399999999999998E-2</v>
      </c>
      <c r="S9" s="3">
        <v>1</v>
      </c>
      <c r="T9" s="2">
        <v>0.10249999999999999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15">
        <f>(1+U9+W9)</f>
        <v>1</v>
      </c>
    </row>
    <row r="10" spans="1:26" x14ac:dyDescent="0.25">
      <c r="A10" s="9">
        <v>13</v>
      </c>
      <c r="B10" s="10">
        <v>45597</v>
      </c>
      <c r="C10" s="9">
        <v>26</v>
      </c>
      <c r="D10" s="9" t="s">
        <v>16</v>
      </c>
      <c r="E10" s="9" t="s">
        <v>88</v>
      </c>
      <c r="F10" s="9" t="s">
        <v>90</v>
      </c>
      <c r="G10" s="9" t="s">
        <v>87</v>
      </c>
      <c r="H10" s="9">
        <v>1.0149999999999999</v>
      </c>
      <c r="I10" s="44">
        <v>5.7500000000000002E-2</v>
      </c>
      <c r="J10" s="44">
        <v>2.5000000000000001E-2</v>
      </c>
      <c r="K10" s="42">
        <v>1868.8324</v>
      </c>
      <c r="L10" s="43">
        <v>6.0469623316536305E-4</v>
      </c>
      <c r="M10" t="b">
        <f t="shared" si="0"/>
        <v>1</v>
      </c>
      <c r="N10" t="b">
        <f t="shared" si="1"/>
        <v>1</v>
      </c>
      <c r="P10" s="5">
        <v>45597</v>
      </c>
      <c r="Q10" s="1" t="s">
        <v>16</v>
      </c>
      <c r="R10" s="2">
        <v>2.5000000000000001E-2</v>
      </c>
      <c r="S10" s="3">
        <v>1</v>
      </c>
      <c r="T10" s="2">
        <v>5.7500000000000002E-2</v>
      </c>
      <c r="U10" s="2">
        <v>1.4999999999999999E-2</v>
      </c>
      <c r="V10" s="2">
        <v>0</v>
      </c>
      <c r="W10" s="2">
        <v>0</v>
      </c>
      <c r="X10" s="2">
        <v>0</v>
      </c>
      <c r="Y10" s="2">
        <v>0</v>
      </c>
      <c r="Z10" s="15">
        <f>(1+U10+W10)</f>
        <v>1.0149999999999999</v>
      </c>
    </row>
    <row r="11" spans="1:26" x14ac:dyDescent="0.25">
      <c r="A11" s="9">
        <v>11</v>
      </c>
      <c r="B11" s="10">
        <v>45597</v>
      </c>
      <c r="C11" s="9">
        <v>1</v>
      </c>
      <c r="D11" s="9" t="s">
        <v>16</v>
      </c>
      <c r="E11" s="9" t="s">
        <v>88</v>
      </c>
      <c r="F11" s="9" t="s">
        <v>90</v>
      </c>
      <c r="G11" s="9" t="s">
        <v>87</v>
      </c>
      <c r="H11" s="9">
        <v>1.0149999999999999</v>
      </c>
      <c r="I11" s="44">
        <v>0.06</v>
      </c>
      <c r="J11" s="44">
        <v>2.63E-2</v>
      </c>
      <c r="K11" s="42">
        <v>39753.462500000001</v>
      </c>
      <c r="L11" s="43">
        <v>1.2862988157220701E-2</v>
      </c>
      <c r="M11" t="b">
        <f t="shared" si="0"/>
        <v>1</v>
      </c>
      <c r="N11" t="b">
        <f t="shared" si="1"/>
        <v>1</v>
      </c>
      <c r="P11" s="5">
        <v>45597</v>
      </c>
      <c r="Q11" s="1" t="s">
        <v>16</v>
      </c>
      <c r="R11" s="2">
        <v>2.63E-2</v>
      </c>
      <c r="S11" s="3">
        <v>1</v>
      </c>
      <c r="T11" s="2">
        <v>0.06</v>
      </c>
      <c r="U11" s="2">
        <v>1.4999999999999999E-2</v>
      </c>
      <c r="V11" s="2">
        <v>0</v>
      </c>
      <c r="W11" s="2">
        <v>0</v>
      </c>
      <c r="X11" s="2">
        <v>0</v>
      </c>
      <c r="Y11" s="2">
        <v>0</v>
      </c>
      <c r="Z11" s="15">
        <f>(1+U11+W11)</f>
        <v>1.0149999999999999</v>
      </c>
    </row>
    <row r="12" spans="1:26" x14ac:dyDescent="0.25">
      <c r="A12" s="9">
        <v>14</v>
      </c>
      <c r="B12" s="10">
        <v>45597</v>
      </c>
      <c r="C12" s="9">
        <v>26</v>
      </c>
      <c r="D12" s="9" t="s">
        <v>16</v>
      </c>
      <c r="E12" s="9" t="s">
        <v>88</v>
      </c>
      <c r="F12" s="9" t="s">
        <v>90</v>
      </c>
      <c r="G12" s="9" t="s">
        <v>87</v>
      </c>
      <c r="H12" s="9">
        <v>1.0149999999999999</v>
      </c>
      <c r="I12" s="44">
        <v>7.0000000000000007E-2</v>
      </c>
      <c r="J12" s="44">
        <v>3.1399999999999997E-2</v>
      </c>
      <c r="K12" s="42">
        <v>53855.347999999998</v>
      </c>
      <c r="L12" s="43">
        <v>1.7425921164150201E-2</v>
      </c>
      <c r="M12" t="b">
        <f t="shared" si="0"/>
        <v>1</v>
      </c>
      <c r="N12" t="b">
        <f t="shared" si="1"/>
        <v>1</v>
      </c>
      <c r="P12" s="5">
        <v>45597</v>
      </c>
      <c r="Q12" s="1" t="s">
        <v>16</v>
      </c>
      <c r="R12" s="2">
        <v>3.1399999999999997E-2</v>
      </c>
      <c r="S12" s="3">
        <v>1</v>
      </c>
      <c r="T12" s="2">
        <v>7.0000000000000007E-2</v>
      </c>
      <c r="U12" s="2">
        <v>1.4999999999999999E-2</v>
      </c>
      <c r="V12" s="2">
        <v>0</v>
      </c>
      <c r="W12" s="2">
        <v>0</v>
      </c>
      <c r="X12" s="2">
        <v>0</v>
      </c>
      <c r="Y12" s="2">
        <v>0</v>
      </c>
      <c r="Z12" s="15">
        <f>(1+U12+W12)</f>
        <v>1.0149999999999999</v>
      </c>
    </row>
    <row r="13" spans="1:26" x14ac:dyDescent="0.25">
      <c r="A13" s="9">
        <v>12</v>
      </c>
      <c r="B13" s="10">
        <v>45597</v>
      </c>
      <c r="C13" s="9">
        <v>1</v>
      </c>
      <c r="D13" s="9" t="s">
        <v>16</v>
      </c>
      <c r="E13" s="9" t="s">
        <v>88</v>
      </c>
      <c r="F13" s="9" t="s">
        <v>90</v>
      </c>
      <c r="G13" s="9" t="s">
        <v>87</v>
      </c>
      <c r="H13" s="9">
        <v>1.0149999999999999</v>
      </c>
      <c r="I13" s="44">
        <v>8.5000000000000006E-2</v>
      </c>
      <c r="J13" s="44">
        <v>3.8300000000000001E-2</v>
      </c>
      <c r="K13" s="42">
        <v>2995053.2674999898</v>
      </c>
      <c r="L13" s="43">
        <v>0.96910639444546298</v>
      </c>
      <c r="M13" t="b">
        <f t="shared" si="0"/>
        <v>1</v>
      </c>
      <c r="N13" t="b">
        <f t="shared" si="1"/>
        <v>1</v>
      </c>
      <c r="P13" s="5">
        <v>45597</v>
      </c>
      <c r="Q13" s="1" t="s">
        <v>16</v>
      </c>
      <c r="R13" s="2">
        <v>3.8300000000000001E-2</v>
      </c>
      <c r="S13" s="3">
        <v>1</v>
      </c>
      <c r="T13" s="2">
        <v>8.5000000000000006E-2</v>
      </c>
      <c r="U13" s="2">
        <v>1.4999999999999999E-2</v>
      </c>
      <c r="V13" s="2">
        <v>0</v>
      </c>
      <c r="W13" s="2">
        <v>0</v>
      </c>
      <c r="X13" s="2">
        <v>0</v>
      </c>
      <c r="Y13" s="2">
        <v>0</v>
      </c>
      <c r="Z13" s="15">
        <f>(1+U13+W13)</f>
        <v>1.0149999999999999</v>
      </c>
    </row>
    <row r="14" spans="1:26" x14ac:dyDescent="0.25">
      <c r="A14" s="9">
        <v>19</v>
      </c>
      <c r="B14" s="10">
        <v>45597</v>
      </c>
      <c r="C14" s="9">
        <v>26</v>
      </c>
      <c r="D14" s="9" t="s">
        <v>17</v>
      </c>
      <c r="E14" s="9" t="s">
        <v>88</v>
      </c>
      <c r="F14" s="9" t="s">
        <v>92</v>
      </c>
      <c r="G14" s="9" t="s">
        <v>93</v>
      </c>
      <c r="H14" s="9">
        <v>1.0774999999999999</v>
      </c>
      <c r="I14" s="44">
        <v>9.9999000000000002</v>
      </c>
      <c r="J14" s="44">
        <v>3.7199999999999997E-2</v>
      </c>
      <c r="K14" s="42">
        <v>64371.163999999997</v>
      </c>
      <c r="L14" s="43">
        <v>5.8424719517321099E-3</v>
      </c>
      <c r="M14" t="b">
        <f t="shared" si="0"/>
        <v>1</v>
      </c>
      <c r="N14" t="b">
        <f t="shared" si="1"/>
        <v>1</v>
      </c>
      <c r="P14" s="5">
        <v>45597</v>
      </c>
      <c r="Q14" s="1" t="s">
        <v>17</v>
      </c>
      <c r="R14" s="2">
        <v>3.7199999999999997E-2</v>
      </c>
      <c r="S14" s="3">
        <v>1</v>
      </c>
      <c r="T14" s="2">
        <v>9.9999000000000002</v>
      </c>
      <c r="U14" s="2">
        <v>0</v>
      </c>
      <c r="V14" s="2">
        <v>0</v>
      </c>
      <c r="W14" s="2">
        <v>7.7499999999999999E-2</v>
      </c>
      <c r="X14" s="2">
        <v>0</v>
      </c>
      <c r="Y14" s="2">
        <v>0</v>
      </c>
      <c r="Z14" s="15">
        <f>(1+U14+W14)</f>
        <v>1.0774999999999999</v>
      </c>
    </row>
    <row r="15" spans="1:26" x14ac:dyDescent="0.25">
      <c r="A15" s="9">
        <v>17</v>
      </c>
      <c r="B15" s="10">
        <v>45597</v>
      </c>
      <c r="C15" s="9">
        <v>1</v>
      </c>
      <c r="D15" s="9" t="s">
        <v>17</v>
      </c>
      <c r="E15" s="9" t="s">
        <v>88</v>
      </c>
      <c r="F15" s="9" t="s">
        <v>92</v>
      </c>
      <c r="G15" s="9" t="s">
        <v>93</v>
      </c>
      <c r="H15" s="9">
        <v>1.08</v>
      </c>
      <c r="I15" s="44">
        <v>9.9999000000000002</v>
      </c>
      <c r="J15" s="44">
        <v>3.5999999999999997E-2</v>
      </c>
      <c r="K15" s="42">
        <v>10697782.9424999</v>
      </c>
      <c r="L15" s="43">
        <v>0.97095489507187505</v>
      </c>
      <c r="M15" t="b">
        <f t="shared" si="0"/>
        <v>1</v>
      </c>
      <c r="N15" t="b">
        <f t="shared" si="1"/>
        <v>1</v>
      </c>
      <c r="P15" s="5">
        <v>45597</v>
      </c>
      <c r="Q15" s="1" t="s">
        <v>17</v>
      </c>
      <c r="R15" s="2">
        <v>3.5999999999999997E-2</v>
      </c>
      <c r="S15" s="3">
        <v>1</v>
      </c>
      <c r="T15" s="2">
        <v>9.9999000000000002</v>
      </c>
      <c r="U15" s="2">
        <v>0</v>
      </c>
      <c r="V15" s="2">
        <v>0</v>
      </c>
      <c r="W15" s="2">
        <v>0.08</v>
      </c>
      <c r="X15" s="2">
        <v>0</v>
      </c>
      <c r="Y15" s="2">
        <v>0</v>
      </c>
      <c r="Z15" s="15">
        <f>(1+U15+W15)</f>
        <v>1.08</v>
      </c>
    </row>
    <row r="16" spans="1:26" x14ac:dyDescent="0.25">
      <c r="A16" s="9">
        <v>20</v>
      </c>
      <c r="B16" s="10">
        <v>45597</v>
      </c>
      <c r="C16" s="9">
        <v>26</v>
      </c>
      <c r="D16" s="9" t="s">
        <v>17</v>
      </c>
      <c r="E16" s="9" t="s">
        <v>88</v>
      </c>
      <c r="F16" s="9" t="s">
        <v>92</v>
      </c>
      <c r="G16" s="9" t="s">
        <v>93</v>
      </c>
      <c r="H16" s="9">
        <v>1.087</v>
      </c>
      <c r="I16" s="44">
        <v>9.9999000000000002</v>
      </c>
      <c r="J16" s="44">
        <v>3.2800000000000003E-2</v>
      </c>
      <c r="K16" s="42">
        <v>1426.0563999999999</v>
      </c>
      <c r="L16" s="43">
        <v>1.2943209351609701E-4</v>
      </c>
      <c r="M16" t="b">
        <f t="shared" si="0"/>
        <v>1</v>
      </c>
      <c r="N16" t="b">
        <f t="shared" si="1"/>
        <v>1</v>
      </c>
      <c r="P16" s="5">
        <v>45597</v>
      </c>
      <c r="Q16" s="1" t="s">
        <v>17</v>
      </c>
      <c r="R16" s="2">
        <v>3.2800000000000003E-2</v>
      </c>
      <c r="S16" s="3">
        <v>1</v>
      </c>
      <c r="T16" s="2">
        <v>9.9999000000000002</v>
      </c>
      <c r="U16" s="2">
        <v>0</v>
      </c>
      <c r="V16" s="2">
        <v>0</v>
      </c>
      <c r="W16" s="2">
        <v>8.6999999999999994E-2</v>
      </c>
      <c r="X16" s="2">
        <v>0</v>
      </c>
      <c r="Y16" s="2">
        <v>0</v>
      </c>
      <c r="Z16" s="15">
        <f>(1+U16+W16)</f>
        <v>1.087</v>
      </c>
    </row>
    <row r="17" spans="1:28" x14ac:dyDescent="0.25">
      <c r="A17" s="9">
        <v>18</v>
      </c>
      <c r="B17" s="10">
        <v>45597</v>
      </c>
      <c r="C17" s="9">
        <v>1</v>
      </c>
      <c r="D17" s="9" t="s">
        <v>17</v>
      </c>
      <c r="E17" s="9" t="s">
        <v>88</v>
      </c>
      <c r="F17" s="9" t="s">
        <v>92</v>
      </c>
      <c r="G17" s="9" t="s">
        <v>93</v>
      </c>
      <c r="H17" s="9">
        <v>1.0900000000000001</v>
      </c>
      <c r="I17" s="44">
        <v>9.9999000000000002</v>
      </c>
      <c r="J17" s="44">
        <v>3.1399999999999997E-2</v>
      </c>
      <c r="K17" s="42">
        <v>254215.81999999899</v>
      </c>
      <c r="L17" s="43">
        <v>2.3073200882876298E-2</v>
      </c>
      <c r="M17" t="b">
        <f t="shared" si="0"/>
        <v>1</v>
      </c>
      <c r="N17" t="b">
        <f t="shared" si="1"/>
        <v>1</v>
      </c>
      <c r="P17" s="5">
        <v>45597</v>
      </c>
      <c r="Q17" s="1" t="s">
        <v>17</v>
      </c>
      <c r="R17" s="2">
        <v>3.1399999999999997E-2</v>
      </c>
      <c r="S17" s="3">
        <v>1</v>
      </c>
      <c r="T17" s="2">
        <v>9.9999000000000002</v>
      </c>
      <c r="U17" s="2">
        <v>0</v>
      </c>
      <c r="V17" s="2">
        <v>0</v>
      </c>
      <c r="W17" s="2">
        <v>0.09</v>
      </c>
      <c r="X17" s="2">
        <v>0</v>
      </c>
      <c r="Y17" s="2">
        <v>0</v>
      </c>
      <c r="Z17" s="15">
        <f>(1+U17+W17)</f>
        <v>1.0900000000000001</v>
      </c>
    </row>
    <row r="18" spans="1:28" x14ac:dyDescent="0.25">
      <c r="A18" s="9">
        <v>15</v>
      </c>
      <c r="B18" s="10">
        <v>45597</v>
      </c>
      <c r="C18" s="9">
        <v>1</v>
      </c>
      <c r="D18" s="9" t="s">
        <v>21</v>
      </c>
      <c r="E18" s="9" t="s">
        <v>88</v>
      </c>
      <c r="F18" s="9" t="s">
        <v>91</v>
      </c>
      <c r="G18" s="9" t="s">
        <v>87</v>
      </c>
      <c r="H18" s="9">
        <v>1</v>
      </c>
      <c r="I18" s="44">
        <v>0.12</v>
      </c>
      <c r="J18" s="44">
        <v>6.1199999999999997E-2</v>
      </c>
      <c r="K18" s="42">
        <v>5138867.1935999999</v>
      </c>
      <c r="L18" s="43">
        <v>1</v>
      </c>
      <c r="M18" t="b">
        <f t="shared" si="0"/>
        <v>1</v>
      </c>
      <c r="N18" t="b">
        <f t="shared" si="1"/>
        <v>1</v>
      </c>
      <c r="P18" s="5">
        <v>45597</v>
      </c>
      <c r="Q18" s="1" t="s">
        <v>21</v>
      </c>
      <c r="R18" s="2">
        <v>6.1199999999999997E-2</v>
      </c>
      <c r="S18" s="3">
        <v>1</v>
      </c>
      <c r="T18" s="2">
        <v>0.12</v>
      </c>
      <c r="U18" s="2">
        <v>0</v>
      </c>
      <c r="V18" s="2">
        <v>0</v>
      </c>
      <c r="W18" s="2">
        <v>0</v>
      </c>
      <c r="X18" s="2">
        <v>4.1500000000000002E-2</v>
      </c>
      <c r="Y18" s="2">
        <v>0.6</v>
      </c>
      <c r="Z18" s="15">
        <f>(1+U18+W18)</f>
        <v>1</v>
      </c>
    </row>
    <row r="19" spans="1:28" x14ac:dyDescent="0.25">
      <c r="A19" s="9">
        <v>16</v>
      </c>
      <c r="B19" s="10">
        <v>45597</v>
      </c>
      <c r="C19" s="9">
        <v>1</v>
      </c>
      <c r="D19" s="9" t="s">
        <v>22</v>
      </c>
      <c r="E19" s="9" t="s">
        <v>88</v>
      </c>
      <c r="F19" s="9" t="s">
        <v>91</v>
      </c>
      <c r="G19" s="9" t="s">
        <v>87</v>
      </c>
      <c r="H19" s="9">
        <v>1</v>
      </c>
      <c r="I19" s="44">
        <v>0.12</v>
      </c>
      <c r="J19" s="44">
        <v>6.1199999999999997E-2</v>
      </c>
      <c r="K19" s="42">
        <v>1049219.2141</v>
      </c>
      <c r="L19" s="43">
        <v>1</v>
      </c>
      <c r="M19" t="b">
        <f t="shared" si="0"/>
        <v>1</v>
      </c>
      <c r="N19" t="b">
        <f t="shared" si="1"/>
        <v>1</v>
      </c>
      <c r="P19" s="5">
        <v>45597</v>
      </c>
      <c r="Q19" s="1" t="s">
        <v>22</v>
      </c>
      <c r="R19" s="2">
        <v>6.1199999999999997E-2</v>
      </c>
      <c r="S19" s="3">
        <v>1</v>
      </c>
      <c r="T19" s="2">
        <v>0.12</v>
      </c>
      <c r="U19" s="2">
        <v>0</v>
      </c>
      <c r="V19" s="2">
        <v>0</v>
      </c>
      <c r="W19" s="2">
        <v>0</v>
      </c>
      <c r="X19" s="2">
        <v>2.1499999999999998E-2</v>
      </c>
      <c r="Y19" s="2">
        <v>0.24</v>
      </c>
      <c r="Z19" s="15">
        <f>(1+U19+W19)</f>
        <v>1</v>
      </c>
    </row>
    <row r="20" spans="1:28" x14ac:dyDescent="0.25">
      <c r="A20" s="47">
        <v>23</v>
      </c>
      <c r="B20" s="48">
        <v>45597</v>
      </c>
      <c r="C20" s="49">
        <v>26</v>
      </c>
      <c r="D20" s="49" t="s">
        <v>18</v>
      </c>
      <c r="E20" s="49" t="s">
        <v>88</v>
      </c>
      <c r="F20" s="49" t="s">
        <v>94</v>
      </c>
      <c r="G20" s="49" t="s">
        <v>95</v>
      </c>
      <c r="H20" s="49">
        <v>1</v>
      </c>
      <c r="I20" s="50">
        <v>5.7000000000000002E-2</v>
      </c>
      <c r="J20" s="50">
        <v>4.0099999999999997E-2</v>
      </c>
      <c r="K20" s="51">
        <v>2008.8091999999999</v>
      </c>
      <c r="L20" s="52">
        <v>5.4871142227347104E-3</v>
      </c>
      <c r="M20" s="81" t="b">
        <f>I20=V20</f>
        <v>1</v>
      </c>
      <c r="N20" s="32" t="b">
        <f t="shared" si="1"/>
        <v>1</v>
      </c>
      <c r="O20" s="32"/>
      <c r="P20" s="53">
        <v>45597</v>
      </c>
      <c r="Q20" s="54" t="s">
        <v>18</v>
      </c>
      <c r="R20" s="55">
        <v>4.0099999999999997E-2</v>
      </c>
      <c r="S20" s="56">
        <v>1</v>
      </c>
      <c r="T20" s="55">
        <v>9.9999000000000002</v>
      </c>
      <c r="U20" s="55">
        <v>0</v>
      </c>
      <c r="V20" s="55">
        <v>5.7000000000000002E-2</v>
      </c>
      <c r="W20" s="55">
        <v>0</v>
      </c>
      <c r="X20" s="55">
        <v>0</v>
      </c>
      <c r="Y20" s="55">
        <v>0</v>
      </c>
      <c r="Z20" s="57">
        <f>(1+U20+W20)</f>
        <v>1</v>
      </c>
    </row>
    <row r="21" spans="1:28" x14ac:dyDescent="0.25">
      <c r="A21" s="58">
        <v>21</v>
      </c>
      <c r="B21" s="59">
        <v>45597</v>
      </c>
      <c r="C21" s="60">
        <v>1</v>
      </c>
      <c r="D21" s="60" t="s">
        <v>18</v>
      </c>
      <c r="E21" s="60" t="s">
        <v>88</v>
      </c>
      <c r="F21" s="60" t="s">
        <v>94</v>
      </c>
      <c r="G21" s="60" t="s">
        <v>95</v>
      </c>
      <c r="H21" s="60">
        <v>1</v>
      </c>
      <c r="I21" s="61">
        <v>0.06</v>
      </c>
      <c r="J21" s="61">
        <v>4.2200000000000001E-2</v>
      </c>
      <c r="K21" s="62">
        <v>26242.666999999899</v>
      </c>
      <c r="L21" s="63">
        <v>7.1682522829042597E-2</v>
      </c>
      <c r="M21" s="82" t="b">
        <f t="shared" ref="M21:M23" si="2">I21=V21</f>
        <v>1</v>
      </c>
      <c r="N21" s="64" t="b">
        <f t="shared" si="1"/>
        <v>1</v>
      </c>
      <c r="O21" s="64"/>
      <c r="P21" s="65">
        <v>45597</v>
      </c>
      <c r="Q21" s="66" t="s">
        <v>18</v>
      </c>
      <c r="R21" s="67">
        <v>4.2200000000000001E-2</v>
      </c>
      <c r="S21" s="68">
        <v>1</v>
      </c>
      <c r="T21" s="67">
        <v>9.9999000000000002</v>
      </c>
      <c r="U21" s="67">
        <v>0</v>
      </c>
      <c r="V21" s="67">
        <v>0.06</v>
      </c>
      <c r="W21" s="67">
        <v>0</v>
      </c>
      <c r="X21" s="67">
        <v>0</v>
      </c>
      <c r="Y21" s="67">
        <v>0</v>
      </c>
      <c r="Z21" s="69">
        <f>(1+U21+W21)</f>
        <v>1</v>
      </c>
    </row>
    <row r="22" spans="1:28" x14ac:dyDescent="0.25">
      <c r="A22" s="58">
        <v>24</v>
      </c>
      <c r="B22" s="59">
        <v>45597</v>
      </c>
      <c r="C22" s="60">
        <v>26</v>
      </c>
      <c r="D22" s="60" t="s">
        <v>18</v>
      </c>
      <c r="E22" s="60" t="s">
        <v>88</v>
      </c>
      <c r="F22" s="60" t="s">
        <v>94</v>
      </c>
      <c r="G22" s="60" t="s">
        <v>95</v>
      </c>
      <c r="H22" s="60">
        <v>1</v>
      </c>
      <c r="I22" s="61">
        <v>6.5000000000000002E-2</v>
      </c>
      <c r="J22" s="61">
        <v>4.5699999999999998E-2</v>
      </c>
      <c r="K22" s="62">
        <v>4787.2323999999999</v>
      </c>
      <c r="L22" s="63">
        <v>1.3076448967665201E-2</v>
      </c>
      <c r="M22" s="82" t="b">
        <f t="shared" si="2"/>
        <v>1</v>
      </c>
      <c r="N22" s="64" t="b">
        <f t="shared" si="1"/>
        <v>1</v>
      </c>
      <c r="O22" s="64"/>
      <c r="P22" s="65">
        <v>45597</v>
      </c>
      <c r="Q22" s="66" t="s">
        <v>18</v>
      </c>
      <c r="R22" s="67">
        <v>4.5699999999999998E-2</v>
      </c>
      <c r="S22" s="68">
        <v>1</v>
      </c>
      <c r="T22" s="67">
        <v>9.9999000000000002</v>
      </c>
      <c r="U22" s="67">
        <v>0</v>
      </c>
      <c r="V22" s="67">
        <v>6.5000000000000002E-2</v>
      </c>
      <c r="W22" s="67">
        <v>0</v>
      </c>
      <c r="X22" s="67">
        <v>0</v>
      </c>
      <c r="Y22" s="67">
        <v>0</v>
      </c>
      <c r="Z22" s="69">
        <f>(1+U22+W22)</f>
        <v>1</v>
      </c>
    </row>
    <row r="23" spans="1:28" x14ac:dyDescent="0.25">
      <c r="A23" s="70">
        <v>22</v>
      </c>
      <c r="B23" s="71">
        <v>45597</v>
      </c>
      <c r="C23" s="72">
        <v>1</v>
      </c>
      <c r="D23" s="72" t="s">
        <v>18</v>
      </c>
      <c r="E23" s="72" t="s">
        <v>88</v>
      </c>
      <c r="F23" s="72" t="s">
        <v>94</v>
      </c>
      <c r="G23" s="72" t="s">
        <v>95</v>
      </c>
      <c r="H23" s="72">
        <v>1</v>
      </c>
      <c r="I23" s="73">
        <v>7.4999999999999997E-2</v>
      </c>
      <c r="J23" s="73">
        <v>5.28E-2</v>
      </c>
      <c r="K23" s="74">
        <v>333057.04199999903</v>
      </c>
      <c r="L23" s="75">
        <v>0.90975391398055705</v>
      </c>
      <c r="M23" s="83" t="b">
        <f t="shared" si="2"/>
        <v>1</v>
      </c>
      <c r="N23" s="33" t="b">
        <f t="shared" si="1"/>
        <v>1</v>
      </c>
      <c r="O23" s="33"/>
      <c r="P23" s="76">
        <v>45597</v>
      </c>
      <c r="Q23" s="77" t="s">
        <v>18</v>
      </c>
      <c r="R23" s="78">
        <v>5.28E-2</v>
      </c>
      <c r="S23" s="79">
        <v>1</v>
      </c>
      <c r="T23" s="78">
        <v>9.9999000000000002</v>
      </c>
      <c r="U23" s="78">
        <v>0</v>
      </c>
      <c r="V23" s="78">
        <v>7.4999999999999997E-2</v>
      </c>
      <c r="W23" s="78">
        <v>0</v>
      </c>
      <c r="X23" s="78">
        <v>0</v>
      </c>
      <c r="Y23" s="78">
        <v>0</v>
      </c>
      <c r="Z23" s="80">
        <f>(1+U23+W23)</f>
        <v>1</v>
      </c>
    </row>
    <row r="24" spans="1:28" x14ac:dyDescent="0.25">
      <c r="A24" s="9">
        <v>25</v>
      </c>
      <c r="B24" s="10">
        <v>45597</v>
      </c>
      <c r="C24" s="9">
        <v>1</v>
      </c>
      <c r="D24" s="9" t="s">
        <v>24</v>
      </c>
      <c r="E24" s="9" t="s">
        <v>96</v>
      </c>
      <c r="F24" s="9" t="s">
        <v>97</v>
      </c>
      <c r="G24" s="9" t="s">
        <v>93</v>
      </c>
      <c r="H24" s="9">
        <v>1</v>
      </c>
      <c r="I24" s="44">
        <v>9.9999000000000002</v>
      </c>
      <c r="J24" s="44">
        <v>2.3599999999999999E-2</v>
      </c>
      <c r="K24" s="42">
        <v>5771191.2577</v>
      </c>
      <c r="L24" s="43">
        <v>1</v>
      </c>
      <c r="M24" t="b">
        <f t="shared" si="0"/>
        <v>1</v>
      </c>
      <c r="N24" t="b">
        <f t="shared" si="1"/>
        <v>1</v>
      </c>
      <c r="P24" s="5">
        <v>45597</v>
      </c>
      <c r="Q24" s="1" t="s">
        <v>24</v>
      </c>
      <c r="R24" s="2">
        <v>2.3599999999999999E-2</v>
      </c>
      <c r="S24" s="3">
        <v>2.4</v>
      </c>
      <c r="T24" s="2">
        <v>9.9999000000000002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15">
        <f>(1+U24+W24)</f>
        <v>1</v>
      </c>
      <c r="AB24" s="12" t="s">
        <v>101</v>
      </c>
    </row>
    <row r="25" spans="1:28" x14ac:dyDescent="0.25">
      <c r="A25" s="90" t="s">
        <v>102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P25" s="84">
        <v>45597</v>
      </c>
      <c r="Q25" s="85" t="s">
        <v>24</v>
      </c>
      <c r="R25" s="86">
        <v>2.3599999999999999E-2</v>
      </c>
      <c r="S25" s="87">
        <v>2.2000000000000002</v>
      </c>
      <c r="T25" s="86">
        <v>9.9999000000000002</v>
      </c>
      <c r="U25" s="86">
        <v>0</v>
      </c>
      <c r="V25" s="86">
        <v>0</v>
      </c>
      <c r="W25" s="86">
        <v>0</v>
      </c>
      <c r="X25" s="86">
        <v>0</v>
      </c>
      <c r="Y25" s="86">
        <v>0</v>
      </c>
      <c r="Z25" s="88">
        <f>(1+U25+W25)</f>
        <v>1</v>
      </c>
      <c r="AB25" t="s">
        <v>100</v>
      </c>
    </row>
    <row r="26" spans="1:28" x14ac:dyDescent="0.25">
      <c r="A26" s="9">
        <v>0</v>
      </c>
      <c r="B26" s="10">
        <v>45597</v>
      </c>
      <c r="C26" s="9">
        <v>1</v>
      </c>
      <c r="D26" s="9" t="s">
        <v>25</v>
      </c>
      <c r="E26" s="9" t="s">
        <v>85</v>
      </c>
      <c r="F26" s="9" t="s">
        <v>86</v>
      </c>
      <c r="G26" s="9" t="s">
        <v>87</v>
      </c>
      <c r="H26" s="9">
        <v>1</v>
      </c>
      <c r="I26" s="44">
        <v>9.2499999999999999E-2</v>
      </c>
      <c r="J26" s="44">
        <v>4.87E-2</v>
      </c>
      <c r="K26" s="42">
        <v>64510.5004999999</v>
      </c>
      <c r="L26" s="43">
        <v>7.4862488562670595E-2</v>
      </c>
      <c r="M26" t="b">
        <f t="shared" ref="M26" si="3">I26=T26</f>
        <v>1</v>
      </c>
      <c r="N26" t="b">
        <f t="shared" ref="N26" si="4">H26=Z26</f>
        <v>1</v>
      </c>
      <c r="P26" s="5">
        <v>45597</v>
      </c>
      <c r="Q26" s="1" t="s">
        <v>25</v>
      </c>
      <c r="R26" s="2">
        <v>4.87E-2</v>
      </c>
      <c r="S26" s="3">
        <v>1</v>
      </c>
      <c r="T26" s="2">
        <v>9.2499999999999999E-2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15">
        <f>(1+U26+W26)</f>
        <v>1</v>
      </c>
    </row>
    <row r="27" spans="1:28" x14ac:dyDescent="0.25">
      <c r="A27" s="91" t="s">
        <v>103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P27" s="84">
        <v>45597</v>
      </c>
      <c r="Q27" s="85" t="s">
        <v>25</v>
      </c>
      <c r="R27" s="86">
        <v>4.9799999999999997E-2</v>
      </c>
      <c r="S27" s="87">
        <v>1</v>
      </c>
      <c r="T27" s="86">
        <v>9.5000000000000001E-2</v>
      </c>
      <c r="U27" s="86">
        <v>0</v>
      </c>
      <c r="V27" s="86">
        <v>0</v>
      </c>
      <c r="W27" s="86">
        <v>0</v>
      </c>
      <c r="X27" s="86">
        <v>0</v>
      </c>
      <c r="Y27" s="86">
        <v>0</v>
      </c>
      <c r="Z27" s="88">
        <f>(1+U27+W27)</f>
        <v>1</v>
      </c>
      <c r="AB27" t="s">
        <v>30</v>
      </c>
    </row>
    <row r="28" spans="1:28" x14ac:dyDescent="0.25">
      <c r="A28" s="9">
        <v>1</v>
      </c>
      <c r="B28" s="10">
        <v>45597</v>
      </c>
      <c r="C28" s="9">
        <v>1</v>
      </c>
      <c r="D28" s="9" t="s">
        <v>25</v>
      </c>
      <c r="E28" s="9" t="s">
        <v>85</v>
      </c>
      <c r="F28" s="9" t="s">
        <v>86</v>
      </c>
      <c r="G28" s="9" t="s">
        <v>87</v>
      </c>
      <c r="H28" s="9">
        <v>1</v>
      </c>
      <c r="I28" s="44">
        <v>0.1</v>
      </c>
      <c r="J28" s="44">
        <v>5.2999999999999999E-2</v>
      </c>
      <c r="K28" s="42">
        <v>179018.23749999999</v>
      </c>
      <c r="L28" s="43">
        <v>0.207745260902962</v>
      </c>
      <c r="M28" t="b">
        <f t="shared" ref="M28:M29" si="5">I28=T28</f>
        <v>1</v>
      </c>
      <c r="N28" t="b">
        <f t="shared" ref="N28:N29" si="6">H28=Z28</f>
        <v>1</v>
      </c>
      <c r="P28" s="5">
        <v>45597</v>
      </c>
      <c r="Q28" s="1" t="s">
        <v>25</v>
      </c>
      <c r="R28" s="2">
        <v>5.2999999999999999E-2</v>
      </c>
      <c r="S28" s="3">
        <v>1</v>
      </c>
      <c r="T28" s="2">
        <v>0.1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15">
        <f>(1+U28+W28)</f>
        <v>1</v>
      </c>
    </row>
    <row r="29" spans="1:28" x14ac:dyDescent="0.25">
      <c r="A29" s="9">
        <v>2</v>
      </c>
      <c r="B29" s="10">
        <v>45597</v>
      </c>
      <c r="C29" s="9">
        <v>1</v>
      </c>
      <c r="D29" s="9" t="s">
        <v>25</v>
      </c>
      <c r="E29" s="9" t="s">
        <v>85</v>
      </c>
      <c r="F29" s="9" t="s">
        <v>86</v>
      </c>
      <c r="G29" s="9" t="s">
        <v>87</v>
      </c>
      <c r="H29" s="9">
        <v>1</v>
      </c>
      <c r="I29" s="44">
        <v>0.10249999999999999</v>
      </c>
      <c r="J29" s="44">
        <v>5.2999999999999999E-2</v>
      </c>
      <c r="K29" s="42">
        <v>618191.22</v>
      </c>
      <c r="L29" s="43">
        <v>0.71739225053436595</v>
      </c>
      <c r="M29" t="b">
        <f t="shared" si="5"/>
        <v>1</v>
      </c>
      <c r="N29" t="b">
        <f t="shared" si="6"/>
        <v>1</v>
      </c>
      <c r="P29" s="5">
        <v>45597</v>
      </c>
      <c r="Q29" s="1" t="s">
        <v>25</v>
      </c>
      <c r="R29" s="2">
        <v>5.2999999999999999E-2</v>
      </c>
      <c r="S29" s="3">
        <v>1</v>
      </c>
      <c r="T29" s="2">
        <v>0.10249999999999999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15">
        <f>(1+U29+W29)</f>
        <v>1</v>
      </c>
    </row>
  </sheetData>
  <sortState xmlns:xlrd2="http://schemas.microsoft.com/office/spreadsheetml/2017/richdata2" ref="P2:Z29">
    <sortCondition ref="Q2:Q29"/>
    <sortCondition ref="T2:T29"/>
    <sortCondition ref="V2:V29"/>
    <sortCondition ref="Z2:Z2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D8161-84F6-4CBC-A1E1-2B55D696AF32}">
  <sheetPr codeName="Sheet3"/>
  <dimension ref="A1:I362"/>
  <sheetViews>
    <sheetView showGridLines="0" workbookViewId="0">
      <selection activeCell="E1" sqref="E1"/>
    </sheetView>
  </sheetViews>
  <sheetFormatPr defaultRowHeight="15" x14ac:dyDescent="0.25"/>
  <cols>
    <col min="1" max="1" width="10.85546875" bestFit="1" customWidth="1"/>
    <col min="2" max="2" width="11.28515625" bestFit="1" customWidth="1"/>
    <col min="3" max="3" width="15" bestFit="1" customWidth="1"/>
    <col min="8" max="8" width="9.140625" style="7"/>
  </cols>
  <sheetData>
    <row r="1" spans="1:9" x14ac:dyDescent="0.25">
      <c r="A1" s="16" t="s">
        <v>0</v>
      </c>
      <c r="B1" s="25" t="s">
        <v>63</v>
      </c>
      <c r="C1" s="25" t="s">
        <v>64</v>
      </c>
      <c r="D1" s="18" t="s">
        <v>61</v>
      </c>
      <c r="E1" s="18" t="s">
        <v>62</v>
      </c>
      <c r="H1" s="13" t="s">
        <v>48</v>
      </c>
    </row>
    <row r="2" spans="1:9" x14ac:dyDescent="0.25">
      <c r="A2" s="5">
        <v>45110</v>
      </c>
      <c r="B2" s="26">
        <v>0.97</v>
      </c>
      <c r="C2" s="26">
        <v>0.97</v>
      </c>
      <c r="D2" s="24">
        <v>1</v>
      </c>
      <c r="E2" s="24">
        <v>0.8</v>
      </c>
      <c r="H2" s="7" t="s">
        <v>34</v>
      </c>
      <c r="I2" t="s">
        <v>49</v>
      </c>
    </row>
    <row r="3" spans="1:9" x14ac:dyDescent="0.25">
      <c r="A3" s="5">
        <v>45139</v>
      </c>
      <c r="B3" s="26">
        <v>0.97</v>
      </c>
      <c r="C3" s="26">
        <v>0.97</v>
      </c>
      <c r="D3" s="24">
        <v>1</v>
      </c>
      <c r="E3" s="24">
        <v>0.8</v>
      </c>
      <c r="H3" s="7" t="s">
        <v>39</v>
      </c>
      <c r="I3" t="s">
        <v>50</v>
      </c>
    </row>
    <row r="4" spans="1:9" x14ac:dyDescent="0.25">
      <c r="A4" s="5">
        <v>45170</v>
      </c>
      <c r="B4" s="26">
        <v>0.97</v>
      </c>
      <c r="C4" s="26">
        <v>0.97</v>
      </c>
      <c r="D4" s="24">
        <v>1</v>
      </c>
      <c r="E4" s="24">
        <v>0.8</v>
      </c>
      <c r="H4" s="7" t="s">
        <v>40</v>
      </c>
      <c r="I4" t="s">
        <v>51</v>
      </c>
    </row>
    <row r="5" spans="1:9" x14ac:dyDescent="0.25">
      <c r="A5" s="5">
        <v>45201</v>
      </c>
      <c r="B5" s="26">
        <v>0.97</v>
      </c>
      <c r="C5" s="26">
        <v>0.97</v>
      </c>
      <c r="D5" s="24">
        <v>1</v>
      </c>
      <c r="E5" s="24">
        <v>0.8</v>
      </c>
    </row>
    <row r="6" spans="1:9" x14ac:dyDescent="0.25">
      <c r="A6" s="5">
        <v>45231</v>
      </c>
      <c r="B6" s="26">
        <v>0.97</v>
      </c>
      <c r="C6" s="26">
        <v>0.97</v>
      </c>
      <c r="D6" s="24">
        <v>1</v>
      </c>
      <c r="E6" s="24">
        <v>0.8</v>
      </c>
    </row>
    <row r="7" spans="1:9" x14ac:dyDescent="0.25">
      <c r="A7" s="5">
        <v>45261</v>
      </c>
      <c r="B7" s="26">
        <v>0.97</v>
      </c>
      <c r="C7" s="26">
        <v>0.97</v>
      </c>
      <c r="D7" s="24">
        <v>1</v>
      </c>
      <c r="E7" s="24">
        <v>0.8</v>
      </c>
    </row>
    <row r="8" spans="1:9" x14ac:dyDescent="0.25">
      <c r="A8" s="5">
        <v>45293</v>
      </c>
      <c r="B8" s="26">
        <v>0.97</v>
      </c>
      <c r="C8" s="26">
        <v>0.97</v>
      </c>
      <c r="D8" s="24">
        <v>1</v>
      </c>
      <c r="E8" s="24">
        <v>0.8</v>
      </c>
    </row>
    <row r="9" spans="1:9" x14ac:dyDescent="0.25">
      <c r="A9" s="5">
        <v>45323</v>
      </c>
      <c r="B9" s="26">
        <v>0.97</v>
      </c>
      <c r="C9" s="26">
        <v>0.97</v>
      </c>
      <c r="D9" s="24">
        <v>1</v>
      </c>
      <c r="E9" s="24">
        <v>0.8</v>
      </c>
    </row>
    <row r="10" spans="1:9" x14ac:dyDescent="0.25">
      <c r="A10" s="5">
        <v>45352</v>
      </c>
      <c r="B10" s="26">
        <v>0.97</v>
      </c>
      <c r="C10" s="26">
        <v>0.97</v>
      </c>
      <c r="D10" s="24">
        <v>1</v>
      </c>
      <c r="E10" s="24">
        <v>0.8</v>
      </c>
    </row>
    <row r="11" spans="1:9" x14ac:dyDescent="0.25">
      <c r="A11" s="5">
        <v>45383</v>
      </c>
      <c r="B11" s="26">
        <v>0.97</v>
      </c>
      <c r="C11" s="26">
        <v>0.97</v>
      </c>
      <c r="D11" s="24">
        <v>1</v>
      </c>
      <c r="E11" s="24">
        <v>0.8</v>
      </c>
    </row>
    <row r="12" spans="1:9" x14ac:dyDescent="0.25">
      <c r="A12" s="5">
        <v>45413</v>
      </c>
      <c r="B12" s="26">
        <v>0.97</v>
      </c>
      <c r="C12" s="26">
        <v>0.97</v>
      </c>
      <c r="D12" s="24">
        <v>1</v>
      </c>
      <c r="E12" s="24">
        <v>0.8</v>
      </c>
    </row>
    <row r="13" spans="1:9" x14ac:dyDescent="0.25">
      <c r="A13" s="5">
        <v>45446</v>
      </c>
      <c r="B13" s="26">
        <v>0.97</v>
      </c>
      <c r="C13" s="26">
        <v>0.97</v>
      </c>
      <c r="D13" s="24">
        <v>1</v>
      </c>
      <c r="E13" s="24">
        <v>0.8</v>
      </c>
    </row>
    <row r="14" spans="1:9" x14ac:dyDescent="0.25">
      <c r="A14" s="5">
        <v>45474</v>
      </c>
      <c r="B14" s="26">
        <v>0.97</v>
      </c>
      <c r="C14" s="26">
        <v>0.97</v>
      </c>
      <c r="D14" s="24">
        <v>1</v>
      </c>
      <c r="E14" s="24">
        <v>0.8</v>
      </c>
    </row>
    <row r="15" spans="1:9" x14ac:dyDescent="0.25">
      <c r="A15" s="5">
        <v>45505</v>
      </c>
      <c r="B15" s="26">
        <v>0.97</v>
      </c>
      <c r="C15" s="26">
        <v>0.97</v>
      </c>
      <c r="D15" s="24">
        <v>1</v>
      </c>
      <c r="E15" s="24">
        <v>0.8</v>
      </c>
    </row>
    <row r="16" spans="1:9" x14ac:dyDescent="0.25">
      <c r="A16" s="5">
        <v>45538</v>
      </c>
      <c r="B16" s="26">
        <v>0.95</v>
      </c>
      <c r="C16" s="26">
        <v>0.95</v>
      </c>
      <c r="D16" s="24">
        <v>1</v>
      </c>
      <c r="E16" s="24">
        <v>0.8</v>
      </c>
    </row>
    <row r="17" spans="1:5" x14ac:dyDescent="0.25">
      <c r="A17" s="5">
        <v>45566</v>
      </c>
      <c r="B17" s="26">
        <v>0.95</v>
      </c>
      <c r="C17" s="26">
        <v>0.95</v>
      </c>
      <c r="D17" s="24">
        <v>1</v>
      </c>
      <c r="E17" s="24">
        <v>0.8</v>
      </c>
    </row>
    <row r="18" spans="1:5" x14ac:dyDescent="0.25">
      <c r="A18" s="5">
        <v>45597</v>
      </c>
      <c r="B18" s="26">
        <v>0.95</v>
      </c>
      <c r="C18" s="26">
        <v>0.95</v>
      </c>
      <c r="D18" s="24">
        <v>1</v>
      </c>
      <c r="E18" s="24">
        <v>0.8</v>
      </c>
    </row>
    <row r="19" spans="1:5" x14ac:dyDescent="0.25">
      <c r="A19" s="5">
        <v>45628</v>
      </c>
      <c r="B19" s="26">
        <v>0.95</v>
      </c>
      <c r="C19" s="26">
        <v>0.95</v>
      </c>
      <c r="D19" s="24">
        <v>1</v>
      </c>
      <c r="E19" s="24">
        <v>0.8</v>
      </c>
    </row>
    <row r="20" spans="1:5" x14ac:dyDescent="0.25">
      <c r="A20" s="5">
        <v>45659</v>
      </c>
      <c r="B20" s="26">
        <v>0.95</v>
      </c>
      <c r="C20" s="26">
        <v>0.95</v>
      </c>
      <c r="D20" s="24">
        <v>1</v>
      </c>
      <c r="E20" s="24">
        <v>0.8</v>
      </c>
    </row>
    <row r="21" spans="1:5" x14ac:dyDescent="0.25">
      <c r="A21" s="5">
        <v>45691</v>
      </c>
      <c r="B21" s="26">
        <v>0.95</v>
      </c>
      <c r="C21" s="26">
        <v>0.95</v>
      </c>
      <c r="D21" s="24">
        <v>1</v>
      </c>
      <c r="E21" s="24">
        <v>0.8</v>
      </c>
    </row>
    <row r="22" spans="1:5" x14ac:dyDescent="0.25">
      <c r="A22" s="5">
        <v>45719</v>
      </c>
      <c r="B22" s="26">
        <v>0.95</v>
      </c>
      <c r="C22" s="26">
        <v>0.95</v>
      </c>
      <c r="D22" s="24">
        <v>1</v>
      </c>
      <c r="E22" s="24">
        <v>0.8</v>
      </c>
    </row>
    <row r="23" spans="1:5" x14ac:dyDescent="0.25">
      <c r="A23" s="5">
        <v>45748</v>
      </c>
      <c r="B23" s="26">
        <v>0.95</v>
      </c>
      <c r="C23" s="26">
        <v>0.95</v>
      </c>
      <c r="D23" s="24">
        <v>1</v>
      </c>
      <c r="E23" s="24">
        <v>0.8</v>
      </c>
    </row>
    <row r="24" spans="1:5" x14ac:dyDescent="0.25">
      <c r="A24" s="5">
        <v>45778</v>
      </c>
      <c r="B24" s="26">
        <v>0.95</v>
      </c>
      <c r="C24" s="26">
        <v>0.95</v>
      </c>
      <c r="D24" s="24">
        <v>1</v>
      </c>
      <c r="E24" s="24">
        <v>0.8</v>
      </c>
    </row>
    <row r="25" spans="1:5" x14ac:dyDescent="0.25">
      <c r="A25" s="5">
        <v>45810</v>
      </c>
      <c r="B25" s="26">
        <v>0.95</v>
      </c>
      <c r="C25" s="26">
        <v>0.95</v>
      </c>
      <c r="D25" s="24">
        <v>1</v>
      </c>
      <c r="E25" s="24">
        <v>0.8</v>
      </c>
    </row>
    <row r="26" spans="1:5" x14ac:dyDescent="0.25">
      <c r="A26" s="5">
        <v>45839</v>
      </c>
      <c r="B26" s="26">
        <v>0.95</v>
      </c>
      <c r="C26" s="26">
        <v>0.95</v>
      </c>
      <c r="D26" s="24">
        <v>1</v>
      </c>
      <c r="E26" s="24">
        <v>0.8</v>
      </c>
    </row>
    <row r="27" spans="1:5" x14ac:dyDescent="0.25">
      <c r="A27" s="5">
        <v>45870</v>
      </c>
      <c r="B27" s="26">
        <v>0.95</v>
      </c>
      <c r="C27" s="26">
        <v>0.95</v>
      </c>
      <c r="D27" s="24">
        <v>1</v>
      </c>
      <c r="E27" s="24">
        <v>0.8</v>
      </c>
    </row>
    <row r="28" spans="1:5" x14ac:dyDescent="0.25">
      <c r="A28" s="5">
        <v>45902</v>
      </c>
      <c r="B28" s="26">
        <v>0.95</v>
      </c>
      <c r="C28" s="26">
        <v>0.95</v>
      </c>
      <c r="D28" s="24">
        <v>1</v>
      </c>
      <c r="E28" s="24">
        <v>0.8</v>
      </c>
    </row>
    <row r="29" spans="1:5" x14ac:dyDescent="0.25">
      <c r="A29" s="5">
        <v>45931</v>
      </c>
      <c r="B29" s="26">
        <v>0.95</v>
      </c>
      <c r="C29" s="26">
        <v>0.95</v>
      </c>
      <c r="D29" s="24">
        <v>1</v>
      </c>
      <c r="E29" s="24">
        <v>0.8</v>
      </c>
    </row>
    <row r="30" spans="1:5" x14ac:dyDescent="0.25">
      <c r="A30" s="5">
        <v>45964</v>
      </c>
      <c r="B30" s="26">
        <v>0.95</v>
      </c>
      <c r="C30" s="26">
        <v>0.95</v>
      </c>
      <c r="D30" s="24">
        <v>1</v>
      </c>
      <c r="E30" s="24">
        <v>0.8</v>
      </c>
    </row>
    <row r="31" spans="1:5" x14ac:dyDescent="0.25">
      <c r="A31" s="5">
        <v>45992</v>
      </c>
      <c r="B31" s="26">
        <v>0.95</v>
      </c>
      <c r="C31" s="26">
        <v>0.95</v>
      </c>
      <c r="D31" s="24">
        <v>1</v>
      </c>
      <c r="E31" s="24">
        <v>0.8</v>
      </c>
    </row>
    <row r="32" spans="1:5" x14ac:dyDescent="0.25">
      <c r="A32" s="5">
        <v>46024</v>
      </c>
      <c r="B32" s="26">
        <v>0.95</v>
      </c>
      <c r="C32" s="26">
        <v>0.95</v>
      </c>
      <c r="D32" s="24">
        <v>1</v>
      </c>
      <c r="E32" s="24">
        <v>0.8</v>
      </c>
    </row>
    <row r="33" spans="1:5" x14ac:dyDescent="0.25">
      <c r="A33" s="5">
        <v>46055</v>
      </c>
      <c r="B33" s="26">
        <v>0.95</v>
      </c>
      <c r="C33" s="26">
        <v>0.95</v>
      </c>
      <c r="D33" s="24">
        <v>1</v>
      </c>
      <c r="E33" s="24">
        <v>0.8</v>
      </c>
    </row>
    <row r="34" spans="1:5" x14ac:dyDescent="0.25">
      <c r="A34" s="5">
        <v>46083</v>
      </c>
      <c r="B34" s="26">
        <v>0.95</v>
      </c>
      <c r="C34" s="26">
        <v>0.95</v>
      </c>
      <c r="D34" s="24">
        <v>1</v>
      </c>
      <c r="E34" s="24">
        <v>0.8</v>
      </c>
    </row>
    <row r="35" spans="1:5" x14ac:dyDescent="0.25">
      <c r="A35" s="5">
        <v>46113</v>
      </c>
      <c r="B35" s="26">
        <v>0.95</v>
      </c>
      <c r="C35" s="26">
        <v>0.95</v>
      </c>
      <c r="D35" s="24">
        <v>1</v>
      </c>
      <c r="E35" s="24">
        <v>0.8</v>
      </c>
    </row>
    <row r="36" spans="1:5" x14ac:dyDescent="0.25">
      <c r="A36" s="5">
        <v>46143</v>
      </c>
      <c r="B36" s="26">
        <v>0.95</v>
      </c>
      <c r="C36" s="26">
        <v>0.95</v>
      </c>
      <c r="D36" s="24">
        <v>1</v>
      </c>
      <c r="E36" s="24">
        <v>0.8</v>
      </c>
    </row>
    <row r="37" spans="1:5" x14ac:dyDescent="0.25">
      <c r="A37" s="5">
        <v>46174</v>
      </c>
      <c r="B37" s="26">
        <v>0.95</v>
      </c>
      <c r="C37" s="26">
        <v>0.95</v>
      </c>
      <c r="D37" s="24">
        <v>1</v>
      </c>
      <c r="E37" s="24">
        <v>0.8</v>
      </c>
    </row>
    <row r="38" spans="1:5" x14ac:dyDescent="0.25">
      <c r="A38" s="5">
        <v>46204</v>
      </c>
      <c r="B38" s="26">
        <v>0.95</v>
      </c>
      <c r="C38" s="26">
        <v>0.95</v>
      </c>
      <c r="D38" s="24">
        <v>1</v>
      </c>
      <c r="E38" s="24">
        <v>0.8</v>
      </c>
    </row>
    <row r="39" spans="1:5" x14ac:dyDescent="0.25">
      <c r="A39" s="5">
        <v>46237</v>
      </c>
      <c r="B39" s="26">
        <v>0.95</v>
      </c>
      <c r="C39" s="26">
        <v>0.95</v>
      </c>
      <c r="D39" s="24">
        <v>1</v>
      </c>
      <c r="E39" s="24">
        <v>0.8</v>
      </c>
    </row>
    <row r="40" spans="1:5" x14ac:dyDescent="0.25">
      <c r="A40" s="5">
        <v>46266</v>
      </c>
      <c r="B40" s="26">
        <v>0.95</v>
      </c>
      <c r="C40" s="26">
        <v>0.95</v>
      </c>
      <c r="D40" s="24">
        <v>1</v>
      </c>
      <c r="E40" s="24">
        <v>0.8</v>
      </c>
    </row>
    <row r="41" spans="1:5" x14ac:dyDescent="0.25">
      <c r="A41" s="5">
        <v>46296</v>
      </c>
      <c r="B41" s="26">
        <v>0.95</v>
      </c>
      <c r="C41" s="26">
        <v>0.95</v>
      </c>
      <c r="D41" s="24">
        <v>1</v>
      </c>
      <c r="E41" s="24">
        <v>0.8</v>
      </c>
    </row>
    <row r="42" spans="1:5" x14ac:dyDescent="0.25">
      <c r="A42" s="5">
        <v>46328</v>
      </c>
      <c r="B42" s="26">
        <v>0.95</v>
      </c>
      <c r="C42" s="26">
        <v>0.95</v>
      </c>
      <c r="D42" s="24">
        <v>1</v>
      </c>
      <c r="E42" s="24">
        <v>0.8</v>
      </c>
    </row>
    <row r="43" spans="1:5" x14ac:dyDescent="0.25">
      <c r="A43" s="5">
        <v>46357</v>
      </c>
      <c r="B43" s="26">
        <v>0.95</v>
      </c>
      <c r="C43" s="26">
        <v>0.95</v>
      </c>
      <c r="D43" s="24">
        <v>1</v>
      </c>
      <c r="E43" s="24">
        <v>0.8</v>
      </c>
    </row>
    <row r="44" spans="1:5" x14ac:dyDescent="0.25">
      <c r="A44" s="5">
        <v>46391</v>
      </c>
      <c r="B44" s="26">
        <v>0.95</v>
      </c>
      <c r="C44" s="26">
        <v>0.95</v>
      </c>
      <c r="D44" s="24">
        <v>1</v>
      </c>
      <c r="E44" s="24">
        <v>0.8</v>
      </c>
    </row>
    <row r="45" spans="1:5" x14ac:dyDescent="0.25">
      <c r="A45" s="5">
        <v>46419</v>
      </c>
      <c r="B45" s="26">
        <v>0.95</v>
      </c>
      <c r="C45" s="26">
        <v>0.95</v>
      </c>
      <c r="D45" s="24">
        <v>1</v>
      </c>
      <c r="E45" s="24">
        <v>0.8</v>
      </c>
    </row>
    <row r="46" spans="1:5" x14ac:dyDescent="0.25">
      <c r="A46" s="5">
        <v>46447</v>
      </c>
      <c r="B46" s="26">
        <v>0.95</v>
      </c>
      <c r="C46" s="26">
        <v>0.95</v>
      </c>
      <c r="D46" s="24">
        <v>1</v>
      </c>
      <c r="E46" s="24">
        <v>0.8</v>
      </c>
    </row>
    <row r="47" spans="1:5" x14ac:dyDescent="0.25">
      <c r="A47" s="5">
        <v>46478</v>
      </c>
      <c r="B47" s="26">
        <v>0.95</v>
      </c>
      <c r="C47" s="26">
        <v>0.95</v>
      </c>
      <c r="D47" s="24">
        <v>1</v>
      </c>
      <c r="E47" s="24">
        <v>0.8</v>
      </c>
    </row>
    <row r="48" spans="1:5" x14ac:dyDescent="0.25">
      <c r="A48" s="5">
        <v>46510</v>
      </c>
      <c r="B48" s="26">
        <v>0.95</v>
      </c>
      <c r="C48" s="26">
        <v>0.95</v>
      </c>
      <c r="D48" s="24">
        <v>1</v>
      </c>
      <c r="E48" s="24">
        <v>0.8</v>
      </c>
    </row>
    <row r="49" spans="1:5" x14ac:dyDescent="0.25">
      <c r="A49" s="5">
        <v>46539</v>
      </c>
      <c r="B49" s="26">
        <v>0.95</v>
      </c>
      <c r="C49" s="26">
        <v>0.95</v>
      </c>
      <c r="D49" s="24">
        <v>1</v>
      </c>
      <c r="E49" s="24">
        <v>0.8</v>
      </c>
    </row>
    <row r="50" spans="1:5" x14ac:dyDescent="0.25">
      <c r="A50" s="5">
        <v>46569</v>
      </c>
      <c r="B50" s="26">
        <v>0.95</v>
      </c>
      <c r="C50" s="26">
        <v>0.95</v>
      </c>
      <c r="D50" s="24">
        <v>1</v>
      </c>
      <c r="E50" s="24">
        <v>0.8</v>
      </c>
    </row>
    <row r="51" spans="1:5" x14ac:dyDescent="0.25">
      <c r="A51" s="5">
        <v>46601</v>
      </c>
      <c r="B51" s="26">
        <v>0.95</v>
      </c>
      <c r="C51" s="26">
        <v>0.95</v>
      </c>
      <c r="D51" s="24">
        <v>1</v>
      </c>
      <c r="E51" s="24">
        <v>0.8</v>
      </c>
    </row>
    <row r="52" spans="1:5" x14ac:dyDescent="0.25">
      <c r="A52" s="5">
        <v>46631</v>
      </c>
      <c r="B52" s="26">
        <v>0.95</v>
      </c>
      <c r="C52" s="26">
        <v>0.95</v>
      </c>
      <c r="D52" s="24">
        <v>1</v>
      </c>
      <c r="E52" s="24">
        <v>0.8</v>
      </c>
    </row>
    <row r="53" spans="1:5" x14ac:dyDescent="0.25">
      <c r="A53" s="5">
        <v>46661</v>
      </c>
      <c r="B53" s="26">
        <v>0.95</v>
      </c>
      <c r="C53" s="26">
        <v>0.95</v>
      </c>
      <c r="D53" s="24">
        <v>1</v>
      </c>
      <c r="E53" s="24">
        <v>0.8</v>
      </c>
    </row>
    <row r="54" spans="1:5" x14ac:dyDescent="0.25">
      <c r="A54" s="5">
        <v>46692</v>
      </c>
      <c r="B54" s="26">
        <v>0.95</v>
      </c>
      <c r="C54" s="26">
        <v>0.95</v>
      </c>
      <c r="D54" s="24">
        <v>1</v>
      </c>
      <c r="E54" s="24">
        <v>0.8</v>
      </c>
    </row>
    <row r="55" spans="1:5" x14ac:dyDescent="0.25">
      <c r="A55" s="5">
        <v>46722</v>
      </c>
      <c r="B55" s="26">
        <v>0.95</v>
      </c>
      <c r="C55" s="26">
        <v>0.95</v>
      </c>
      <c r="D55" s="24">
        <v>1</v>
      </c>
      <c r="E55" s="24">
        <v>0.8</v>
      </c>
    </row>
    <row r="56" spans="1:5" x14ac:dyDescent="0.25">
      <c r="A56" s="5">
        <v>46755</v>
      </c>
      <c r="B56" s="26">
        <v>0.95</v>
      </c>
      <c r="C56" s="26">
        <v>0.95</v>
      </c>
      <c r="D56" s="24">
        <v>1</v>
      </c>
      <c r="E56" s="24">
        <v>0.8</v>
      </c>
    </row>
    <row r="57" spans="1:5" x14ac:dyDescent="0.25">
      <c r="A57" s="5">
        <v>46784</v>
      </c>
      <c r="B57" s="26">
        <v>0.95</v>
      </c>
      <c r="C57" s="26">
        <v>0.95</v>
      </c>
      <c r="D57" s="24">
        <v>1</v>
      </c>
      <c r="E57" s="24">
        <v>0.8</v>
      </c>
    </row>
    <row r="58" spans="1:5" x14ac:dyDescent="0.25">
      <c r="A58" s="5">
        <v>46813</v>
      </c>
      <c r="B58" s="26">
        <v>0.95</v>
      </c>
      <c r="C58" s="26">
        <v>0.95</v>
      </c>
      <c r="D58" s="24">
        <v>1</v>
      </c>
      <c r="E58" s="24">
        <v>0.8</v>
      </c>
    </row>
    <row r="59" spans="1:5" x14ac:dyDescent="0.25">
      <c r="A59" s="5">
        <v>46846</v>
      </c>
      <c r="B59" s="26">
        <v>0.95</v>
      </c>
      <c r="C59" s="26">
        <v>0.95</v>
      </c>
      <c r="D59" s="24">
        <v>1</v>
      </c>
      <c r="E59" s="24">
        <v>0.8</v>
      </c>
    </row>
    <row r="60" spans="1:5" x14ac:dyDescent="0.25">
      <c r="A60" s="5">
        <v>46874</v>
      </c>
      <c r="B60" s="26">
        <v>0.95</v>
      </c>
      <c r="C60" s="26">
        <v>0.95</v>
      </c>
      <c r="D60" s="24">
        <v>1</v>
      </c>
      <c r="E60" s="24">
        <v>0.8</v>
      </c>
    </row>
    <row r="61" spans="1:5" x14ac:dyDescent="0.25">
      <c r="A61" s="5">
        <v>46905</v>
      </c>
      <c r="B61" s="26">
        <v>0.95</v>
      </c>
      <c r="C61" s="26">
        <v>0.95</v>
      </c>
      <c r="D61" s="24">
        <v>1</v>
      </c>
      <c r="E61" s="24">
        <v>0.8</v>
      </c>
    </row>
    <row r="62" spans="1:5" x14ac:dyDescent="0.25">
      <c r="A62" s="5">
        <v>46937</v>
      </c>
      <c r="B62" s="26">
        <v>0.95</v>
      </c>
      <c r="C62" s="26">
        <v>0.95</v>
      </c>
      <c r="D62" s="24">
        <v>1</v>
      </c>
      <c r="E62" s="24">
        <v>0.8</v>
      </c>
    </row>
    <row r="63" spans="1:5" x14ac:dyDescent="0.25">
      <c r="A63" s="5">
        <v>46966</v>
      </c>
      <c r="B63" s="26">
        <v>0.95</v>
      </c>
      <c r="C63" s="26">
        <v>0.95</v>
      </c>
      <c r="D63" s="24">
        <v>1</v>
      </c>
      <c r="E63" s="24">
        <v>0.8</v>
      </c>
    </row>
    <row r="64" spans="1:5" x14ac:dyDescent="0.25">
      <c r="A64" s="5">
        <v>46997</v>
      </c>
      <c r="B64" s="26">
        <v>0.95</v>
      </c>
      <c r="C64" s="26">
        <v>0.95</v>
      </c>
      <c r="D64" s="24">
        <v>1</v>
      </c>
      <c r="E64" s="24">
        <v>0.8</v>
      </c>
    </row>
    <row r="65" spans="1:5" x14ac:dyDescent="0.25">
      <c r="A65" s="5">
        <v>47028</v>
      </c>
      <c r="B65" s="26">
        <v>0.95</v>
      </c>
      <c r="C65" s="26">
        <v>0.95</v>
      </c>
      <c r="D65" s="24">
        <v>1</v>
      </c>
      <c r="E65" s="24">
        <v>0.8</v>
      </c>
    </row>
    <row r="66" spans="1:5" x14ac:dyDescent="0.25">
      <c r="A66" s="5">
        <v>47058</v>
      </c>
      <c r="B66" s="26">
        <v>0.95</v>
      </c>
      <c r="C66" s="26">
        <v>0.95</v>
      </c>
      <c r="D66" s="24">
        <v>1</v>
      </c>
      <c r="E66" s="24">
        <v>0.8</v>
      </c>
    </row>
    <row r="67" spans="1:5" x14ac:dyDescent="0.25">
      <c r="A67" s="5">
        <v>47088</v>
      </c>
      <c r="B67" s="26">
        <v>0.95</v>
      </c>
      <c r="C67" s="26">
        <v>0.95</v>
      </c>
      <c r="D67" s="24">
        <v>1</v>
      </c>
      <c r="E67" s="24">
        <v>0.8</v>
      </c>
    </row>
    <row r="68" spans="1:5" x14ac:dyDescent="0.25">
      <c r="A68" s="5">
        <v>47120</v>
      </c>
      <c r="B68" s="26">
        <v>0.95</v>
      </c>
      <c r="C68" s="26">
        <v>0.95</v>
      </c>
      <c r="D68" s="24">
        <v>1</v>
      </c>
      <c r="E68" s="24">
        <v>0.8</v>
      </c>
    </row>
    <row r="69" spans="1:5" x14ac:dyDescent="0.25">
      <c r="A69" s="5">
        <v>47150</v>
      </c>
      <c r="B69" s="26">
        <v>0.95</v>
      </c>
      <c r="C69" s="26">
        <v>0.95</v>
      </c>
      <c r="D69" s="24">
        <v>1</v>
      </c>
      <c r="E69" s="24">
        <v>0.8</v>
      </c>
    </row>
    <row r="70" spans="1:5" x14ac:dyDescent="0.25">
      <c r="A70" s="5">
        <v>47178</v>
      </c>
      <c r="B70" s="26">
        <v>0.95</v>
      </c>
      <c r="C70" s="26">
        <v>0.95</v>
      </c>
      <c r="D70" s="24">
        <v>1</v>
      </c>
      <c r="E70" s="24">
        <v>0.8</v>
      </c>
    </row>
    <row r="71" spans="1:5" x14ac:dyDescent="0.25">
      <c r="A71" s="5">
        <v>47210</v>
      </c>
      <c r="B71" s="26">
        <v>0.95</v>
      </c>
      <c r="C71" s="26">
        <v>0.95</v>
      </c>
      <c r="D71" s="24">
        <v>1</v>
      </c>
      <c r="E71" s="24">
        <v>0.8</v>
      </c>
    </row>
    <row r="72" spans="1:5" x14ac:dyDescent="0.25">
      <c r="A72" s="5">
        <v>47239</v>
      </c>
      <c r="B72" s="26">
        <v>0.95</v>
      </c>
      <c r="C72" s="26">
        <v>0.95</v>
      </c>
      <c r="D72" s="24">
        <v>1</v>
      </c>
      <c r="E72" s="24">
        <v>0.8</v>
      </c>
    </row>
    <row r="73" spans="1:5" x14ac:dyDescent="0.25">
      <c r="A73" s="5">
        <v>47270</v>
      </c>
      <c r="B73" s="26">
        <v>0.95</v>
      </c>
      <c r="C73" s="26">
        <v>0.95</v>
      </c>
      <c r="D73" s="24">
        <v>1</v>
      </c>
      <c r="E73" s="24">
        <v>0.8</v>
      </c>
    </row>
    <row r="74" spans="1:5" x14ac:dyDescent="0.25">
      <c r="A74" s="5">
        <v>47301</v>
      </c>
      <c r="B74" s="26">
        <v>0.95</v>
      </c>
      <c r="C74" s="26">
        <v>0.95</v>
      </c>
      <c r="D74" s="24">
        <v>1</v>
      </c>
      <c r="E74" s="24">
        <v>0.8</v>
      </c>
    </row>
    <row r="75" spans="1:5" x14ac:dyDescent="0.25">
      <c r="A75" s="5">
        <v>47331</v>
      </c>
      <c r="B75" s="26">
        <v>0.95</v>
      </c>
      <c r="C75" s="26">
        <v>0.95</v>
      </c>
      <c r="D75" s="24">
        <v>1</v>
      </c>
      <c r="E75" s="24">
        <v>0.8</v>
      </c>
    </row>
    <row r="76" spans="1:5" x14ac:dyDescent="0.25">
      <c r="A76" s="5">
        <v>47365</v>
      </c>
      <c r="B76" s="26">
        <v>0.95</v>
      </c>
      <c r="C76" s="26">
        <v>0.95</v>
      </c>
      <c r="D76" s="24">
        <v>1</v>
      </c>
      <c r="E76" s="24">
        <v>0.8</v>
      </c>
    </row>
    <row r="77" spans="1:5" x14ac:dyDescent="0.25">
      <c r="A77" s="5">
        <v>47392</v>
      </c>
      <c r="B77" s="26">
        <v>0.95</v>
      </c>
      <c r="C77" s="26">
        <v>0.95</v>
      </c>
      <c r="D77" s="24">
        <v>1</v>
      </c>
      <c r="E77" s="24">
        <v>0.8</v>
      </c>
    </row>
    <row r="78" spans="1:5" x14ac:dyDescent="0.25">
      <c r="A78" s="5">
        <v>47423</v>
      </c>
      <c r="B78" s="26">
        <v>0.95</v>
      </c>
      <c r="C78" s="26">
        <v>0.95</v>
      </c>
      <c r="D78" s="24">
        <v>1</v>
      </c>
      <c r="E78" s="24">
        <v>0.8</v>
      </c>
    </row>
    <row r="79" spans="1:5" x14ac:dyDescent="0.25">
      <c r="A79" s="5">
        <v>47455</v>
      </c>
      <c r="B79" s="26">
        <v>0.95</v>
      </c>
      <c r="C79" s="26">
        <v>0.95</v>
      </c>
      <c r="D79" s="24">
        <v>1</v>
      </c>
      <c r="E79" s="24">
        <v>0.8</v>
      </c>
    </row>
    <row r="80" spans="1:5" x14ac:dyDescent="0.25">
      <c r="A80" s="5">
        <v>47485</v>
      </c>
      <c r="B80" s="26">
        <v>0.95</v>
      </c>
      <c r="C80" s="26">
        <v>0.95</v>
      </c>
      <c r="D80" s="24">
        <v>1</v>
      </c>
      <c r="E80" s="24">
        <v>0.8</v>
      </c>
    </row>
    <row r="81" spans="1:5" x14ac:dyDescent="0.25">
      <c r="A81" s="5">
        <v>47515</v>
      </c>
      <c r="B81" s="26">
        <v>0.95</v>
      </c>
      <c r="C81" s="26">
        <v>0.95</v>
      </c>
      <c r="D81" s="24">
        <v>1</v>
      </c>
      <c r="E81" s="24">
        <v>0.8</v>
      </c>
    </row>
    <row r="82" spans="1:5" x14ac:dyDescent="0.25">
      <c r="A82" s="5">
        <v>47543</v>
      </c>
      <c r="B82" s="26">
        <v>0.95</v>
      </c>
      <c r="C82" s="26">
        <v>0.95</v>
      </c>
      <c r="D82" s="24">
        <v>1</v>
      </c>
      <c r="E82" s="24">
        <v>0.8</v>
      </c>
    </row>
    <row r="83" spans="1:5" x14ac:dyDescent="0.25">
      <c r="A83" s="5">
        <v>47574</v>
      </c>
      <c r="B83" s="26">
        <v>0.95</v>
      </c>
      <c r="C83" s="26">
        <v>0.95</v>
      </c>
      <c r="D83" s="24">
        <v>1</v>
      </c>
      <c r="E83" s="24">
        <v>0.8</v>
      </c>
    </row>
    <row r="84" spans="1:5" x14ac:dyDescent="0.25">
      <c r="A84" s="5">
        <v>47604</v>
      </c>
      <c r="B84" s="26">
        <v>0.95</v>
      </c>
      <c r="C84" s="26">
        <v>0.95</v>
      </c>
      <c r="D84" s="24">
        <v>1</v>
      </c>
      <c r="E84" s="24">
        <v>0.8</v>
      </c>
    </row>
    <row r="85" spans="1:5" x14ac:dyDescent="0.25">
      <c r="A85" s="5">
        <v>47637</v>
      </c>
      <c r="B85" s="26">
        <v>0.95</v>
      </c>
      <c r="C85" s="26">
        <v>0.95</v>
      </c>
      <c r="D85" s="24">
        <v>1</v>
      </c>
      <c r="E85" s="24">
        <v>0.8</v>
      </c>
    </row>
    <row r="86" spans="1:5" x14ac:dyDescent="0.25">
      <c r="A86" s="5">
        <v>47665</v>
      </c>
      <c r="B86" s="26">
        <v>0.95</v>
      </c>
      <c r="C86" s="26">
        <v>0.95</v>
      </c>
      <c r="D86" s="24">
        <v>1</v>
      </c>
      <c r="E86" s="24">
        <v>0.8</v>
      </c>
    </row>
    <row r="87" spans="1:5" x14ac:dyDescent="0.25">
      <c r="A87" s="5">
        <v>47696</v>
      </c>
      <c r="B87" s="26">
        <v>0.95</v>
      </c>
      <c r="C87" s="26">
        <v>0.95</v>
      </c>
      <c r="D87" s="24">
        <v>1</v>
      </c>
      <c r="E87" s="24">
        <v>0.8</v>
      </c>
    </row>
    <row r="88" spans="1:5" x14ac:dyDescent="0.25">
      <c r="A88" s="5">
        <v>47729</v>
      </c>
      <c r="B88" s="26">
        <v>0.95</v>
      </c>
      <c r="C88" s="26">
        <v>0.95</v>
      </c>
      <c r="D88" s="24">
        <v>1</v>
      </c>
      <c r="E88" s="24">
        <v>0.8</v>
      </c>
    </row>
    <row r="89" spans="1:5" x14ac:dyDescent="0.25">
      <c r="A89" s="5">
        <v>47757</v>
      </c>
      <c r="B89" s="26">
        <v>0.95</v>
      </c>
      <c r="C89" s="26">
        <v>0.95</v>
      </c>
      <c r="D89" s="24">
        <v>1</v>
      </c>
      <c r="E89" s="24">
        <v>0.8</v>
      </c>
    </row>
    <row r="90" spans="1:5" x14ac:dyDescent="0.25">
      <c r="A90" s="5">
        <v>47788</v>
      </c>
      <c r="B90" s="26">
        <v>0.95</v>
      </c>
      <c r="C90" s="26">
        <v>0.95</v>
      </c>
      <c r="D90" s="24">
        <v>1</v>
      </c>
      <c r="E90" s="24">
        <v>0.8</v>
      </c>
    </row>
    <row r="91" spans="1:5" x14ac:dyDescent="0.25">
      <c r="A91" s="5">
        <v>47819</v>
      </c>
      <c r="B91" s="26">
        <v>0.95</v>
      </c>
      <c r="C91" s="26">
        <v>0.95</v>
      </c>
      <c r="D91" s="24">
        <v>1</v>
      </c>
      <c r="E91" s="24">
        <v>0.8</v>
      </c>
    </row>
    <row r="92" spans="1:5" x14ac:dyDescent="0.25">
      <c r="A92" s="5">
        <v>47850</v>
      </c>
      <c r="B92" s="26">
        <v>0.95</v>
      </c>
      <c r="C92" s="26">
        <v>0.95</v>
      </c>
      <c r="D92" s="24">
        <v>1</v>
      </c>
      <c r="E92" s="24">
        <v>0.8</v>
      </c>
    </row>
    <row r="93" spans="1:5" x14ac:dyDescent="0.25">
      <c r="A93" s="5">
        <v>47882</v>
      </c>
      <c r="B93" s="26">
        <v>0.95</v>
      </c>
      <c r="C93" s="26">
        <v>0.95</v>
      </c>
      <c r="D93" s="24">
        <v>1</v>
      </c>
      <c r="E93" s="24">
        <v>0.8</v>
      </c>
    </row>
    <row r="94" spans="1:5" x14ac:dyDescent="0.25">
      <c r="A94" s="5">
        <v>47910</v>
      </c>
      <c r="B94" s="26">
        <v>0.95</v>
      </c>
      <c r="C94" s="26">
        <v>0.95</v>
      </c>
      <c r="D94" s="24">
        <v>1</v>
      </c>
      <c r="E94" s="24">
        <v>0.8</v>
      </c>
    </row>
    <row r="95" spans="1:5" x14ac:dyDescent="0.25">
      <c r="A95" s="5">
        <v>47939</v>
      </c>
      <c r="B95" s="26">
        <v>0.95</v>
      </c>
      <c r="C95" s="26">
        <v>0.95</v>
      </c>
      <c r="D95" s="24">
        <v>1</v>
      </c>
      <c r="E95" s="24">
        <v>0.8</v>
      </c>
    </row>
    <row r="96" spans="1:5" x14ac:dyDescent="0.25">
      <c r="A96" s="5">
        <v>47969</v>
      </c>
      <c r="B96" s="26">
        <v>0.95</v>
      </c>
      <c r="C96" s="26">
        <v>0.95</v>
      </c>
      <c r="D96" s="24">
        <v>1</v>
      </c>
      <c r="E96" s="24">
        <v>0.8</v>
      </c>
    </row>
    <row r="97" spans="1:5" x14ac:dyDescent="0.25">
      <c r="A97" s="5">
        <v>48001</v>
      </c>
      <c r="B97" s="26">
        <v>0.95</v>
      </c>
      <c r="C97" s="26">
        <v>0.95</v>
      </c>
      <c r="D97" s="24">
        <v>1</v>
      </c>
      <c r="E97" s="24">
        <v>0.8</v>
      </c>
    </row>
    <row r="98" spans="1:5" x14ac:dyDescent="0.25">
      <c r="A98" s="5">
        <v>48030</v>
      </c>
      <c r="B98" s="26">
        <v>0.95</v>
      </c>
      <c r="C98" s="26">
        <v>0.95</v>
      </c>
      <c r="D98" s="24">
        <v>1</v>
      </c>
      <c r="E98" s="24">
        <v>0.8</v>
      </c>
    </row>
    <row r="99" spans="1:5" x14ac:dyDescent="0.25">
      <c r="A99" s="5">
        <v>48061</v>
      </c>
      <c r="B99" s="26">
        <v>0.95</v>
      </c>
      <c r="C99" s="26">
        <v>0.95</v>
      </c>
      <c r="D99" s="24">
        <v>1</v>
      </c>
      <c r="E99" s="24">
        <v>0.8</v>
      </c>
    </row>
    <row r="100" spans="1:5" x14ac:dyDescent="0.25">
      <c r="A100" s="5">
        <v>48093</v>
      </c>
      <c r="B100" s="26">
        <v>0.95</v>
      </c>
      <c r="C100" s="26">
        <v>0.95</v>
      </c>
      <c r="D100" s="24">
        <v>1</v>
      </c>
      <c r="E100" s="24">
        <v>0.8</v>
      </c>
    </row>
    <row r="101" spans="1:5" x14ac:dyDescent="0.25">
      <c r="A101" s="5">
        <v>48122</v>
      </c>
      <c r="B101" s="26">
        <v>0.95</v>
      </c>
      <c r="C101" s="26">
        <v>0.95</v>
      </c>
      <c r="D101" s="24">
        <v>1</v>
      </c>
      <c r="E101" s="24">
        <v>0.8</v>
      </c>
    </row>
    <row r="102" spans="1:5" x14ac:dyDescent="0.25">
      <c r="A102" s="5">
        <v>48155</v>
      </c>
      <c r="B102" s="26">
        <v>0.95</v>
      </c>
      <c r="C102" s="26">
        <v>0.95</v>
      </c>
      <c r="D102" s="24">
        <v>1</v>
      </c>
      <c r="E102" s="24">
        <v>0.8</v>
      </c>
    </row>
    <row r="103" spans="1:5" x14ac:dyDescent="0.25">
      <c r="A103" s="5">
        <v>48183</v>
      </c>
      <c r="B103" s="26">
        <v>0.95</v>
      </c>
      <c r="C103" s="26">
        <v>0.95</v>
      </c>
      <c r="D103" s="24">
        <v>1</v>
      </c>
      <c r="E103" s="24">
        <v>0.8</v>
      </c>
    </row>
    <row r="104" spans="1:5" x14ac:dyDescent="0.25">
      <c r="A104" s="5">
        <v>48215</v>
      </c>
      <c r="B104" s="26">
        <v>0.95</v>
      </c>
      <c r="C104" s="26">
        <v>0.95</v>
      </c>
      <c r="D104" s="24">
        <v>1</v>
      </c>
      <c r="E104" s="24">
        <v>0.8</v>
      </c>
    </row>
    <row r="105" spans="1:5" x14ac:dyDescent="0.25">
      <c r="A105" s="5">
        <v>48246</v>
      </c>
      <c r="B105" s="26">
        <v>0.95</v>
      </c>
      <c r="C105" s="26">
        <v>0.95</v>
      </c>
      <c r="D105" s="24">
        <v>1</v>
      </c>
      <c r="E105" s="24">
        <v>0.8</v>
      </c>
    </row>
    <row r="106" spans="1:5" x14ac:dyDescent="0.25">
      <c r="A106" s="5">
        <v>48274</v>
      </c>
      <c r="B106" s="26">
        <v>0.95</v>
      </c>
      <c r="C106" s="26">
        <v>0.95</v>
      </c>
      <c r="D106" s="24">
        <v>1</v>
      </c>
      <c r="E106" s="24">
        <v>0.8</v>
      </c>
    </row>
    <row r="107" spans="1:5" x14ac:dyDescent="0.25">
      <c r="A107" s="5">
        <v>48305</v>
      </c>
      <c r="B107" s="26">
        <v>0.95</v>
      </c>
      <c r="C107" s="26">
        <v>0.95</v>
      </c>
      <c r="D107" s="24">
        <v>1</v>
      </c>
      <c r="E107" s="24">
        <v>0.8</v>
      </c>
    </row>
    <row r="108" spans="1:5" x14ac:dyDescent="0.25">
      <c r="A108" s="5">
        <v>48337</v>
      </c>
      <c r="B108" s="26">
        <v>0.95</v>
      </c>
      <c r="C108" s="26">
        <v>0.95</v>
      </c>
      <c r="D108" s="24">
        <v>1</v>
      </c>
      <c r="E108" s="24">
        <v>0.8</v>
      </c>
    </row>
    <row r="109" spans="1:5" x14ac:dyDescent="0.25">
      <c r="A109" s="5">
        <v>48366</v>
      </c>
      <c r="B109" s="26">
        <v>0.95</v>
      </c>
      <c r="C109" s="26">
        <v>0.95</v>
      </c>
      <c r="D109" s="24">
        <v>1</v>
      </c>
      <c r="E109" s="24">
        <v>0.8</v>
      </c>
    </row>
    <row r="110" spans="1:5" x14ac:dyDescent="0.25">
      <c r="A110" s="5">
        <v>48396</v>
      </c>
      <c r="B110" s="26">
        <v>0.95</v>
      </c>
      <c r="C110" s="26">
        <v>0.95</v>
      </c>
      <c r="D110" s="24">
        <v>1</v>
      </c>
      <c r="E110" s="24">
        <v>0.8</v>
      </c>
    </row>
    <row r="111" spans="1:5" x14ac:dyDescent="0.25">
      <c r="A111" s="5">
        <v>48428</v>
      </c>
      <c r="B111" s="26">
        <v>0.95</v>
      </c>
      <c r="C111" s="26">
        <v>0.95</v>
      </c>
      <c r="D111" s="24">
        <v>1</v>
      </c>
      <c r="E111" s="24">
        <v>0.8</v>
      </c>
    </row>
    <row r="112" spans="1:5" x14ac:dyDescent="0.25">
      <c r="A112" s="5">
        <v>48458</v>
      </c>
      <c r="B112" s="26">
        <v>0.95</v>
      </c>
      <c r="C112" s="26">
        <v>0.95</v>
      </c>
      <c r="D112" s="24">
        <v>1</v>
      </c>
      <c r="E112" s="24">
        <v>0.8</v>
      </c>
    </row>
    <row r="113" spans="1:5" x14ac:dyDescent="0.25">
      <c r="A113" s="5">
        <v>48488</v>
      </c>
      <c r="B113" s="26">
        <v>0.95</v>
      </c>
      <c r="C113" s="26">
        <v>0.95</v>
      </c>
      <c r="D113" s="24">
        <v>1</v>
      </c>
      <c r="E113" s="24">
        <v>0.8</v>
      </c>
    </row>
    <row r="114" spans="1:5" x14ac:dyDescent="0.25">
      <c r="A114" s="5">
        <v>48519</v>
      </c>
      <c r="B114" s="26">
        <v>0.95</v>
      </c>
      <c r="C114" s="26">
        <v>0.95</v>
      </c>
      <c r="D114" s="24">
        <v>1</v>
      </c>
      <c r="E114" s="24">
        <v>0.8</v>
      </c>
    </row>
    <row r="115" spans="1:5" x14ac:dyDescent="0.25">
      <c r="A115" s="5">
        <v>48549</v>
      </c>
      <c r="B115" s="26">
        <v>0.95</v>
      </c>
      <c r="C115" s="26">
        <v>0.95</v>
      </c>
      <c r="D115" s="24">
        <v>1</v>
      </c>
      <c r="E115" s="24">
        <v>0.8</v>
      </c>
    </row>
    <row r="116" spans="1:5" x14ac:dyDescent="0.25">
      <c r="A116" s="5">
        <v>48582</v>
      </c>
      <c r="B116" s="26">
        <v>0.95</v>
      </c>
      <c r="C116" s="26">
        <v>0.95</v>
      </c>
      <c r="D116" s="24">
        <v>1</v>
      </c>
      <c r="E116" s="24">
        <v>0.8</v>
      </c>
    </row>
    <row r="117" spans="1:5" x14ac:dyDescent="0.25">
      <c r="A117" s="5">
        <v>48611</v>
      </c>
      <c r="B117" s="26">
        <v>0.95</v>
      </c>
      <c r="C117" s="26">
        <v>0.95</v>
      </c>
      <c r="D117" s="24">
        <v>1</v>
      </c>
      <c r="E117" s="24">
        <v>0.8</v>
      </c>
    </row>
    <row r="118" spans="1:5" x14ac:dyDescent="0.25">
      <c r="A118" s="5">
        <v>48639</v>
      </c>
      <c r="B118" s="26">
        <v>0.95</v>
      </c>
      <c r="C118" s="26">
        <v>0.95</v>
      </c>
      <c r="D118" s="24">
        <v>1</v>
      </c>
      <c r="E118" s="24">
        <v>0.8</v>
      </c>
    </row>
    <row r="119" spans="1:5" x14ac:dyDescent="0.25">
      <c r="A119" s="5">
        <v>48670</v>
      </c>
      <c r="B119" s="26">
        <v>0.95</v>
      </c>
      <c r="C119" s="26">
        <v>0.95</v>
      </c>
      <c r="D119" s="24">
        <v>1</v>
      </c>
      <c r="E119" s="24">
        <v>0.8</v>
      </c>
    </row>
    <row r="120" spans="1:5" x14ac:dyDescent="0.25">
      <c r="A120" s="5">
        <v>48701</v>
      </c>
      <c r="B120" s="26">
        <v>0.95</v>
      </c>
      <c r="C120" s="26">
        <v>0.95</v>
      </c>
      <c r="D120" s="24">
        <v>1</v>
      </c>
      <c r="E120" s="24">
        <v>0.8</v>
      </c>
    </row>
    <row r="121" spans="1:5" x14ac:dyDescent="0.25">
      <c r="A121" s="5">
        <v>48731</v>
      </c>
      <c r="B121" s="26">
        <v>0.95</v>
      </c>
      <c r="C121" s="26">
        <v>0.95</v>
      </c>
      <c r="D121" s="24">
        <v>1</v>
      </c>
      <c r="E121" s="24">
        <v>0.8</v>
      </c>
    </row>
    <row r="122" spans="1:5" x14ac:dyDescent="0.25">
      <c r="A122" s="5">
        <v>48761</v>
      </c>
      <c r="B122" s="26">
        <v>0.95</v>
      </c>
      <c r="C122" s="26">
        <v>0.95</v>
      </c>
      <c r="D122" s="24">
        <v>1</v>
      </c>
      <c r="E122" s="24">
        <v>0.8</v>
      </c>
    </row>
    <row r="123" spans="1:5" x14ac:dyDescent="0.25">
      <c r="A123" s="5">
        <v>48792</v>
      </c>
      <c r="B123" s="26">
        <v>0.95</v>
      </c>
      <c r="C123" s="26">
        <v>0.95</v>
      </c>
      <c r="D123" s="24">
        <v>1</v>
      </c>
      <c r="E123" s="24">
        <v>0.8</v>
      </c>
    </row>
    <row r="124" spans="1:5" x14ac:dyDescent="0.25">
      <c r="A124" s="5">
        <v>48823</v>
      </c>
      <c r="B124" s="26">
        <v>0.95</v>
      </c>
      <c r="C124" s="26">
        <v>0.95</v>
      </c>
      <c r="D124" s="24">
        <v>1</v>
      </c>
      <c r="E124" s="24">
        <v>0.8</v>
      </c>
    </row>
    <row r="125" spans="1:5" x14ac:dyDescent="0.25">
      <c r="A125" s="5">
        <v>48855</v>
      </c>
      <c r="B125" s="26">
        <v>0.95</v>
      </c>
      <c r="C125" s="26">
        <v>0.95</v>
      </c>
      <c r="D125" s="24">
        <v>1</v>
      </c>
      <c r="E125" s="24">
        <v>0.8</v>
      </c>
    </row>
    <row r="126" spans="1:5" x14ac:dyDescent="0.25">
      <c r="A126" s="5">
        <v>48884</v>
      </c>
      <c r="B126" s="26">
        <v>0.95</v>
      </c>
      <c r="C126" s="26">
        <v>0.95</v>
      </c>
      <c r="D126" s="24">
        <v>1</v>
      </c>
      <c r="E126" s="24">
        <v>0.8</v>
      </c>
    </row>
    <row r="127" spans="1:5" x14ac:dyDescent="0.25">
      <c r="A127" s="5">
        <v>48914</v>
      </c>
      <c r="B127" s="26">
        <v>0.95</v>
      </c>
      <c r="C127" s="26">
        <v>0.95</v>
      </c>
      <c r="D127" s="24">
        <v>1</v>
      </c>
      <c r="E127" s="24">
        <v>0.8</v>
      </c>
    </row>
    <row r="128" spans="1:5" x14ac:dyDescent="0.25">
      <c r="A128" s="5">
        <v>48947</v>
      </c>
      <c r="B128" s="26">
        <v>0.95</v>
      </c>
      <c r="C128" s="26">
        <v>0.95</v>
      </c>
      <c r="D128" s="24">
        <v>1</v>
      </c>
      <c r="E128" s="24">
        <v>0.8</v>
      </c>
    </row>
    <row r="129" spans="1:5" x14ac:dyDescent="0.25">
      <c r="A129" s="5">
        <v>48976</v>
      </c>
      <c r="B129" s="26">
        <v>0.95</v>
      </c>
      <c r="C129" s="26">
        <v>0.95</v>
      </c>
      <c r="D129" s="24">
        <v>1</v>
      </c>
      <c r="E129" s="24">
        <v>0.8</v>
      </c>
    </row>
    <row r="130" spans="1:5" x14ac:dyDescent="0.25">
      <c r="A130" s="5">
        <v>49004</v>
      </c>
      <c r="B130" s="26">
        <v>0.95</v>
      </c>
      <c r="C130" s="26">
        <v>0.95</v>
      </c>
      <c r="D130" s="24">
        <v>1</v>
      </c>
      <c r="E130" s="24">
        <v>0.8</v>
      </c>
    </row>
    <row r="131" spans="1:5" x14ac:dyDescent="0.25">
      <c r="A131" s="5">
        <v>49037</v>
      </c>
      <c r="B131" s="26">
        <v>0.95</v>
      </c>
      <c r="C131" s="26">
        <v>0.95</v>
      </c>
      <c r="D131" s="24">
        <v>1</v>
      </c>
      <c r="E131" s="24">
        <v>0.8</v>
      </c>
    </row>
    <row r="132" spans="1:5" x14ac:dyDescent="0.25">
      <c r="A132" s="5">
        <v>49065</v>
      </c>
      <c r="B132" s="26">
        <v>0.95</v>
      </c>
      <c r="C132" s="26">
        <v>0.95</v>
      </c>
      <c r="D132" s="24">
        <v>1</v>
      </c>
      <c r="E132" s="24">
        <v>0.8</v>
      </c>
    </row>
    <row r="133" spans="1:5" x14ac:dyDescent="0.25">
      <c r="A133" s="5">
        <v>49096</v>
      </c>
      <c r="B133" s="26">
        <v>0.95</v>
      </c>
      <c r="C133" s="26">
        <v>0.95</v>
      </c>
      <c r="D133" s="24">
        <v>1</v>
      </c>
      <c r="E133" s="24">
        <v>0.8</v>
      </c>
    </row>
    <row r="134" spans="1:5" x14ac:dyDescent="0.25">
      <c r="A134" s="5">
        <v>49128</v>
      </c>
      <c r="B134" s="26">
        <v>0.95</v>
      </c>
      <c r="C134" s="26">
        <v>0.95</v>
      </c>
      <c r="D134" s="24">
        <v>1</v>
      </c>
      <c r="E134" s="24">
        <v>0.8</v>
      </c>
    </row>
    <row r="135" spans="1:5" x14ac:dyDescent="0.25">
      <c r="A135" s="5">
        <v>49157</v>
      </c>
      <c r="B135" s="26">
        <v>0.95</v>
      </c>
      <c r="C135" s="26">
        <v>0.95</v>
      </c>
      <c r="D135" s="24">
        <v>1</v>
      </c>
      <c r="E135" s="24">
        <v>0.8</v>
      </c>
    </row>
    <row r="136" spans="1:5" x14ac:dyDescent="0.25">
      <c r="A136" s="5">
        <v>49188</v>
      </c>
      <c r="B136" s="26">
        <v>0.95</v>
      </c>
      <c r="C136" s="26">
        <v>0.95</v>
      </c>
      <c r="D136" s="24">
        <v>1</v>
      </c>
      <c r="E136" s="24">
        <v>0.8</v>
      </c>
    </row>
    <row r="137" spans="1:5" x14ac:dyDescent="0.25">
      <c r="A137" s="5">
        <v>49219</v>
      </c>
      <c r="B137" s="26">
        <v>0.95</v>
      </c>
      <c r="C137" s="26">
        <v>0.95</v>
      </c>
      <c r="D137" s="24">
        <v>1</v>
      </c>
      <c r="E137" s="24">
        <v>0.8</v>
      </c>
    </row>
    <row r="138" spans="1:5" x14ac:dyDescent="0.25">
      <c r="A138" s="5">
        <v>49249</v>
      </c>
      <c r="B138" s="26">
        <v>0.95</v>
      </c>
      <c r="C138" s="26">
        <v>0.95</v>
      </c>
      <c r="D138" s="24">
        <v>1</v>
      </c>
      <c r="E138" s="24">
        <v>0.8</v>
      </c>
    </row>
    <row r="139" spans="1:5" x14ac:dyDescent="0.25">
      <c r="A139" s="5">
        <v>49279</v>
      </c>
      <c r="B139" s="26">
        <v>0.95</v>
      </c>
      <c r="C139" s="26">
        <v>0.95</v>
      </c>
      <c r="D139" s="24">
        <v>1</v>
      </c>
      <c r="E139" s="24">
        <v>0.8</v>
      </c>
    </row>
    <row r="140" spans="1:5" x14ac:dyDescent="0.25">
      <c r="A140" s="5">
        <v>49311</v>
      </c>
      <c r="B140" s="26">
        <v>0.95</v>
      </c>
      <c r="C140" s="26">
        <v>0.95</v>
      </c>
      <c r="D140" s="24">
        <v>1</v>
      </c>
      <c r="E140" s="24">
        <v>0.8</v>
      </c>
    </row>
    <row r="141" spans="1:5" x14ac:dyDescent="0.25">
      <c r="A141" s="5">
        <v>49341</v>
      </c>
      <c r="B141" s="26">
        <v>0.95</v>
      </c>
      <c r="C141" s="26">
        <v>0.95</v>
      </c>
      <c r="D141" s="24">
        <v>1</v>
      </c>
      <c r="E141" s="24">
        <v>0.8</v>
      </c>
    </row>
    <row r="142" spans="1:5" x14ac:dyDescent="0.25">
      <c r="A142" s="5">
        <v>49369</v>
      </c>
      <c r="B142" s="26">
        <v>0.95</v>
      </c>
      <c r="C142" s="26">
        <v>0.95</v>
      </c>
      <c r="D142" s="24">
        <v>1</v>
      </c>
      <c r="E142" s="24">
        <v>0.8</v>
      </c>
    </row>
    <row r="143" spans="1:5" x14ac:dyDescent="0.25">
      <c r="A143" s="5">
        <v>49401</v>
      </c>
      <c r="B143" s="26">
        <v>0.95</v>
      </c>
      <c r="C143" s="26">
        <v>0.95</v>
      </c>
      <c r="D143" s="24">
        <v>1</v>
      </c>
      <c r="E143" s="24">
        <v>0.8</v>
      </c>
    </row>
    <row r="144" spans="1:5" x14ac:dyDescent="0.25">
      <c r="A144" s="5">
        <v>49430</v>
      </c>
      <c r="B144" s="26">
        <v>0.95</v>
      </c>
      <c r="C144" s="26">
        <v>0.95</v>
      </c>
      <c r="D144" s="24">
        <v>1</v>
      </c>
      <c r="E144" s="24">
        <v>0.8</v>
      </c>
    </row>
    <row r="145" spans="1:5" x14ac:dyDescent="0.25">
      <c r="A145" s="5">
        <v>49461</v>
      </c>
      <c r="B145" s="26">
        <v>0.95</v>
      </c>
      <c r="C145" s="26">
        <v>0.95</v>
      </c>
      <c r="D145" s="24">
        <v>1</v>
      </c>
      <c r="E145" s="24">
        <v>0.8</v>
      </c>
    </row>
    <row r="146" spans="1:5" x14ac:dyDescent="0.25">
      <c r="A146" s="5">
        <v>49492</v>
      </c>
      <c r="B146" s="26">
        <v>0.95</v>
      </c>
      <c r="C146" s="26">
        <v>0.95</v>
      </c>
      <c r="D146" s="24">
        <v>1</v>
      </c>
      <c r="E146" s="24">
        <v>0.8</v>
      </c>
    </row>
    <row r="147" spans="1:5" x14ac:dyDescent="0.25">
      <c r="A147" s="5">
        <v>49522</v>
      </c>
      <c r="B147" s="26">
        <v>0.95</v>
      </c>
      <c r="C147" s="26">
        <v>0.95</v>
      </c>
      <c r="D147" s="24">
        <v>1</v>
      </c>
      <c r="E147" s="24">
        <v>0.8</v>
      </c>
    </row>
    <row r="148" spans="1:5" x14ac:dyDescent="0.25">
      <c r="A148" s="5">
        <v>49556</v>
      </c>
      <c r="B148" s="26">
        <v>0.95</v>
      </c>
      <c r="C148" s="26">
        <v>0.95</v>
      </c>
      <c r="D148" s="24">
        <v>1</v>
      </c>
      <c r="E148" s="24">
        <v>0.8</v>
      </c>
    </row>
    <row r="149" spans="1:5" x14ac:dyDescent="0.25">
      <c r="A149" s="5">
        <v>49583</v>
      </c>
      <c r="B149" s="26">
        <v>0.95</v>
      </c>
      <c r="C149" s="26">
        <v>0.95</v>
      </c>
      <c r="D149" s="24">
        <v>1</v>
      </c>
      <c r="E149" s="24">
        <v>0.8</v>
      </c>
    </row>
    <row r="150" spans="1:5" x14ac:dyDescent="0.25">
      <c r="A150" s="5">
        <v>49614</v>
      </c>
      <c r="B150" s="26">
        <v>0.95</v>
      </c>
      <c r="C150" s="26">
        <v>0.95</v>
      </c>
      <c r="D150" s="24">
        <v>1</v>
      </c>
      <c r="E150" s="24">
        <v>0.8</v>
      </c>
    </row>
    <row r="151" spans="1:5" x14ac:dyDescent="0.25">
      <c r="A151" s="5">
        <v>49646</v>
      </c>
      <c r="B151" s="26">
        <v>0.95</v>
      </c>
      <c r="C151" s="26">
        <v>0.95</v>
      </c>
      <c r="D151" s="24">
        <v>1</v>
      </c>
      <c r="E151" s="24">
        <v>0.8</v>
      </c>
    </row>
    <row r="152" spans="1:5" x14ac:dyDescent="0.25">
      <c r="A152" s="5">
        <v>49676</v>
      </c>
      <c r="B152" s="26">
        <v>0.95</v>
      </c>
      <c r="C152" s="26">
        <v>0.95</v>
      </c>
      <c r="D152" s="24">
        <v>1</v>
      </c>
      <c r="E152" s="24">
        <v>0.8</v>
      </c>
    </row>
    <row r="153" spans="1:5" x14ac:dyDescent="0.25">
      <c r="A153" s="5">
        <v>49706</v>
      </c>
      <c r="B153" s="26">
        <v>0.95</v>
      </c>
      <c r="C153" s="26">
        <v>0.95</v>
      </c>
      <c r="D153" s="24">
        <v>1</v>
      </c>
      <c r="E153" s="24">
        <v>0.8</v>
      </c>
    </row>
    <row r="154" spans="1:5" x14ac:dyDescent="0.25">
      <c r="A154" s="5">
        <v>49737</v>
      </c>
      <c r="B154" s="26">
        <v>0.95</v>
      </c>
      <c r="C154" s="26">
        <v>0.95</v>
      </c>
      <c r="D154" s="24">
        <v>1</v>
      </c>
      <c r="E154" s="24">
        <v>0.8</v>
      </c>
    </row>
    <row r="155" spans="1:5" x14ac:dyDescent="0.25">
      <c r="A155" s="5">
        <v>49766</v>
      </c>
      <c r="B155" s="26">
        <v>0.95</v>
      </c>
      <c r="C155" s="26">
        <v>0.95</v>
      </c>
      <c r="D155" s="24">
        <v>1</v>
      </c>
      <c r="E155" s="24">
        <v>0.8</v>
      </c>
    </row>
    <row r="156" spans="1:5" x14ac:dyDescent="0.25">
      <c r="A156" s="5">
        <v>49796</v>
      </c>
      <c r="B156" s="26">
        <v>0.95</v>
      </c>
      <c r="C156" s="26">
        <v>0.95</v>
      </c>
      <c r="D156" s="24">
        <v>1</v>
      </c>
      <c r="E156" s="24">
        <v>0.8</v>
      </c>
    </row>
    <row r="157" spans="1:5" x14ac:dyDescent="0.25">
      <c r="A157" s="5">
        <v>49828</v>
      </c>
      <c r="B157" s="26">
        <v>0.95</v>
      </c>
      <c r="C157" s="26">
        <v>0.95</v>
      </c>
      <c r="D157" s="24">
        <v>1</v>
      </c>
      <c r="E157" s="24">
        <v>0.8</v>
      </c>
    </row>
    <row r="158" spans="1:5" x14ac:dyDescent="0.25">
      <c r="A158" s="5">
        <v>49857</v>
      </c>
      <c r="B158" s="26">
        <v>0.95</v>
      </c>
      <c r="C158" s="26">
        <v>0.95</v>
      </c>
      <c r="D158" s="24">
        <v>1</v>
      </c>
      <c r="E158" s="24">
        <v>0.8</v>
      </c>
    </row>
    <row r="159" spans="1:5" x14ac:dyDescent="0.25">
      <c r="A159" s="5">
        <v>49888</v>
      </c>
      <c r="B159" s="26">
        <v>0.95</v>
      </c>
      <c r="C159" s="26">
        <v>0.95</v>
      </c>
      <c r="D159" s="24">
        <v>1</v>
      </c>
      <c r="E159" s="24">
        <v>0.8</v>
      </c>
    </row>
    <row r="160" spans="1:5" x14ac:dyDescent="0.25">
      <c r="A160" s="5">
        <v>49920</v>
      </c>
      <c r="B160" s="26">
        <v>0.95</v>
      </c>
      <c r="C160" s="26">
        <v>0.95</v>
      </c>
      <c r="D160" s="24">
        <v>1</v>
      </c>
      <c r="E160" s="24">
        <v>0.8</v>
      </c>
    </row>
    <row r="161" spans="1:5" x14ac:dyDescent="0.25">
      <c r="A161" s="5">
        <v>49949</v>
      </c>
      <c r="B161" s="26">
        <v>0.95</v>
      </c>
      <c r="C161" s="26">
        <v>0.95</v>
      </c>
      <c r="D161" s="24">
        <v>1</v>
      </c>
      <c r="E161" s="24">
        <v>0.8</v>
      </c>
    </row>
    <row r="162" spans="1:5" x14ac:dyDescent="0.25">
      <c r="A162" s="5">
        <v>49982</v>
      </c>
      <c r="B162" s="26">
        <v>0.95</v>
      </c>
      <c r="C162" s="26">
        <v>0.95</v>
      </c>
      <c r="D162" s="24">
        <v>1</v>
      </c>
      <c r="E162" s="24">
        <v>0.8</v>
      </c>
    </row>
    <row r="163" spans="1:5" x14ac:dyDescent="0.25">
      <c r="A163" s="5">
        <v>50010</v>
      </c>
      <c r="B163" s="26">
        <v>0.95</v>
      </c>
      <c r="C163" s="26">
        <v>0.95</v>
      </c>
      <c r="D163" s="24">
        <v>1</v>
      </c>
      <c r="E163" s="24">
        <v>0.8</v>
      </c>
    </row>
    <row r="164" spans="1:5" x14ac:dyDescent="0.25">
      <c r="A164" s="5">
        <v>50042</v>
      </c>
      <c r="B164" s="26">
        <v>0.95</v>
      </c>
      <c r="C164" s="26">
        <v>0.95</v>
      </c>
      <c r="D164" s="24">
        <v>1</v>
      </c>
      <c r="E164" s="24">
        <v>0.8</v>
      </c>
    </row>
    <row r="165" spans="1:5" x14ac:dyDescent="0.25">
      <c r="A165" s="5">
        <v>50073</v>
      </c>
      <c r="B165" s="26">
        <v>0.95</v>
      </c>
      <c r="C165" s="26">
        <v>0.95</v>
      </c>
      <c r="D165" s="24">
        <v>1</v>
      </c>
      <c r="E165" s="24">
        <v>0.8</v>
      </c>
    </row>
    <row r="166" spans="1:5" x14ac:dyDescent="0.25">
      <c r="A166" s="5">
        <v>50101</v>
      </c>
      <c r="B166" s="26">
        <v>0.95</v>
      </c>
      <c r="C166" s="26">
        <v>0.95</v>
      </c>
      <c r="D166" s="24">
        <v>1</v>
      </c>
      <c r="E166" s="24">
        <v>0.8</v>
      </c>
    </row>
    <row r="167" spans="1:5" x14ac:dyDescent="0.25">
      <c r="A167" s="5">
        <v>50131</v>
      </c>
      <c r="B167" s="26">
        <v>0.95</v>
      </c>
      <c r="C167" s="26">
        <v>0.95</v>
      </c>
      <c r="D167" s="24">
        <v>1</v>
      </c>
      <c r="E167" s="24">
        <v>0.8</v>
      </c>
    </row>
    <row r="168" spans="1:5" x14ac:dyDescent="0.25">
      <c r="A168" s="5">
        <v>50161</v>
      </c>
      <c r="B168" s="26">
        <v>0.95</v>
      </c>
      <c r="C168" s="26">
        <v>0.95</v>
      </c>
      <c r="D168" s="24">
        <v>1</v>
      </c>
      <c r="E168" s="24">
        <v>0.8</v>
      </c>
    </row>
    <row r="169" spans="1:5" x14ac:dyDescent="0.25">
      <c r="A169" s="5">
        <v>50192</v>
      </c>
      <c r="B169" s="26">
        <v>0.95</v>
      </c>
      <c r="C169" s="26">
        <v>0.95</v>
      </c>
      <c r="D169" s="24">
        <v>1</v>
      </c>
      <c r="E169" s="24">
        <v>0.8</v>
      </c>
    </row>
    <row r="170" spans="1:5" x14ac:dyDescent="0.25">
      <c r="A170" s="5">
        <v>50222</v>
      </c>
      <c r="B170" s="26">
        <v>0.95</v>
      </c>
      <c r="C170" s="26">
        <v>0.95</v>
      </c>
      <c r="D170" s="24">
        <v>1</v>
      </c>
      <c r="E170" s="24">
        <v>0.8</v>
      </c>
    </row>
    <row r="171" spans="1:5" x14ac:dyDescent="0.25">
      <c r="A171" s="5">
        <v>50255</v>
      </c>
      <c r="B171" s="26">
        <v>0.95</v>
      </c>
      <c r="C171" s="26">
        <v>0.95</v>
      </c>
      <c r="D171" s="24">
        <v>1</v>
      </c>
      <c r="E171" s="24">
        <v>0.8</v>
      </c>
    </row>
    <row r="172" spans="1:5" x14ac:dyDescent="0.25">
      <c r="A172" s="5">
        <v>50284</v>
      </c>
      <c r="B172" s="26">
        <v>0.95</v>
      </c>
      <c r="C172" s="26">
        <v>0.95</v>
      </c>
      <c r="D172" s="24">
        <v>1</v>
      </c>
      <c r="E172" s="24">
        <v>0.8</v>
      </c>
    </row>
    <row r="173" spans="1:5" x14ac:dyDescent="0.25">
      <c r="A173" s="5">
        <v>50314</v>
      </c>
      <c r="B173" s="26">
        <v>0.95</v>
      </c>
      <c r="C173" s="26">
        <v>0.95</v>
      </c>
      <c r="D173" s="24">
        <v>1</v>
      </c>
      <c r="E173" s="24">
        <v>0.8</v>
      </c>
    </row>
    <row r="174" spans="1:5" x14ac:dyDescent="0.25">
      <c r="A174" s="5">
        <v>50346</v>
      </c>
      <c r="B174" s="26">
        <v>0.95</v>
      </c>
      <c r="C174" s="26">
        <v>0.95</v>
      </c>
      <c r="D174" s="24">
        <v>1</v>
      </c>
      <c r="E174" s="24">
        <v>0.8</v>
      </c>
    </row>
    <row r="175" spans="1:5" x14ac:dyDescent="0.25">
      <c r="A175" s="5">
        <v>50375</v>
      </c>
      <c r="B175" s="26">
        <v>0.95</v>
      </c>
      <c r="C175" s="26">
        <v>0.95</v>
      </c>
      <c r="D175" s="24">
        <v>1</v>
      </c>
      <c r="E175" s="24">
        <v>0.8</v>
      </c>
    </row>
    <row r="176" spans="1:5" x14ac:dyDescent="0.25">
      <c r="A176" s="5">
        <v>50409</v>
      </c>
      <c r="B176" s="26">
        <v>0.95</v>
      </c>
      <c r="C176" s="26">
        <v>0.95</v>
      </c>
      <c r="D176" s="24">
        <v>1</v>
      </c>
      <c r="E176" s="24">
        <v>0.8</v>
      </c>
    </row>
    <row r="177" spans="1:5" x14ac:dyDescent="0.25">
      <c r="A177" s="5">
        <v>50437</v>
      </c>
      <c r="B177" s="26">
        <v>0.95</v>
      </c>
      <c r="C177" s="26">
        <v>0.95</v>
      </c>
      <c r="D177" s="24">
        <v>1</v>
      </c>
      <c r="E177" s="24">
        <v>0.8</v>
      </c>
    </row>
    <row r="178" spans="1:5" x14ac:dyDescent="0.25">
      <c r="A178" s="5">
        <v>50465</v>
      </c>
      <c r="B178" s="26">
        <v>0.95</v>
      </c>
      <c r="C178" s="26">
        <v>0.95</v>
      </c>
      <c r="D178" s="24">
        <v>1</v>
      </c>
      <c r="E178" s="24">
        <v>0.8</v>
      </c>
    </row>
    <row r="179" spans="1:5" x14ac:dyDescent="0.25">
      <c r="A179" s="5">
        <v>50496</v>
      </c>
      <c r="B179" s="26">
        <v>0.95</v>
      </c>
      <c r="C179" s="26">
        <v>0.95</v>
      </c>
      <c r="D179" s="24">
        <v>1</v>
      </c>
      <c r="E179" s="24">
        <v>0.8</v>
      </c>
    </row>
    <row r="180" spans="1:5" x14ac:dyDescent="0.25">
      <c r="A180" s="5">
        <v>50528</v>
      </c>
      <c r="B180" s="26">
        <v>0.95</v>
      </c>
      <c r="C180" s="26">
        <v>0.95</v>
      </c>
      <c r="D180" s="24">
        <v>1</v>
      </c>
      <c r="E180" s="24">
        <v>0.8</v>
      </c>
    </row>
    <row r="181" spans="1:5" x14ac:dyDescent="0.25">
      <c r="A181" s="5">
        <v>50557</v>
      </c>
      <c r="B181" s="26">
        <v>0.95</v>
      </c>
      <c r="C181" s="26">
        <v>0.95</v>
      </c>
      <c r="D181" s="24">
        <v>1</v>
      </c>
      <c r="E181" s="24">
        <v>0.8</v>
      </c>
    </row>
    <row r="182" spans="1:5" x14ac:dyDescent="0.25">
      <c r="A182" s="5">
        <v>50587</v>
      </c>
      <c r="B182" s="26">
        <v>0.95</v>
      </c>
      <c r="C182" s="26">
        <v>0.95</v>
      </c>
      <c r="D182" s="24">
        <v>1</v>
      </c>
      <c r="E182" s="24">
        <v>0.8</v>
      </c>
    </row>
    <row r="183" spans="1:5" x14ac:dyDescent="0.25">
      <c r="A183" s="5">
        <v>50619</v>
      </c>
      <c r="B183" s="26">
        <v>0.95</v>
      </c>
      <c r="C183" s="26">
        <v>0.95</v>
      </c>
      <c r="D183" s="24">
        <v>1</v>
      </c>
      <c r="E183" s="24">
        <v>0.8</v>
      </c>
    </row>
    <row r="184" spans="1:5" x14ac:dyDescent="0.25">
      <c r="A184" s="5">
        <v>50649</v>
      </c>
      <c r="B184" s="26">
        <v>0.95</v>
      </c>
      <c r="C184" s="26">
        <v>0.95</v>
      </c>
      <c r="D184" s="24">
        <v>1</v>
      </c>
      <c r="E184" s="24">
        <v>0.8</v>
      </c>
    </row>
    <row r="185" spans="1:5" x14ac:dyDescent="0.25">
      <c r="A185" s="5">
        <v>50679</v>
      </c>
      <c r="B185" s="26">
        <v>0.95</v>
      </c>
      <c r="C185" s="26">
        <v>0.95</v>
      </c>
      <c r="D185" s="24">
        <v>1</v>
      </c>
      <c r="E185" s="24">
        <v>0.8</v>
      </c>
    </row>
    <row r="186" spans="1:5" x14ac:dyDescent="0.25">
      <c r="A186" s="5">
        <v>50710</v>
      </c>
      <c r="B186" s="26">
        <v>0.95</v>
      </c>
      <c r="C186" s="26">
        <v>0.95</v>
      </c>
      <c r="D186" s="24">
        <v>1</v>
      </c>
      <c r="E186" s="24">
        <v>0.8</v>
      </c>
    </row>
    <row r="187" spans="1:5" x14ac:dyDescent="0.25">
      <c r="A187" s="5">
        <v>50740</v>
      </c>
      <c r="B187" s="26">
        <v>0.95</v>
      </c>
      <c r="C187" s="26">
        <v>0.95</v>
      </c>
      <c r="D187" s="24">
        <v>1</v>
      </c>
      <c r="E187" s="24">
        <v>0.8</v>
      </c>
    </row>
    <row r="188" spans="1:5" x14ac:dyDescent="0.25">
      <c r="A188" s="5">
        <v>50773</v>
      </c>
      <c r="B188" s="26">
        <v>0.95</v>
      </c>
      <c r="C188" s="26">
        <v>0.95</v>
      </c>
      <c r="D188" s="24">
        <v>1</v>
      </c>
      <c r="E188" s="24">
        <v>0.8</v>
      </c>
    </row>
    <row r="189" spans="1:5" x14ac:dyDescent="0.25">
      <c r="A189" s="5">
        <v>50802</v>
      </c>
      <c r="B189" s="26">
        <v>0.95</v>
      </c>
      <c r="C189" s="26">
        <v>0.95</v>
      </c>
      <c r="D189" s="24">
        <v>1</v>
      </c>
      <c r="E189" s="24">
        <v>0.8</v>
      </c>
    </row>
    <row r="190" spans="1:5" x14ac:dyDescent="0.25">
      <c r="A190" s="5">
        <v>50830</v>
      </c>
      <c r="B190" s="26">
        <v>0.95</v>
      </c>
      <c r="C190" s="26">
        <v>0.95</v>
      </c>
      <c r="D190" s="24">
        <v>1</v>
      </c>
      <c r="E190" s="24">
        <v>0.8</v>
      </c>
    </row>
    <row r="191" spans="1:5" x14ac:dyDescent="0.25">
      <c r="A191" s="5">
        <v>50861</v>
      </c>
      <c r="B191" s="26">
        <v>0.95</v>
      </c>
      <c r="C191" s="26">
        <v>0.95</v>
      </c>
      <c r="D191" s="24">
        <v>1</v>
      </c>
      <c r="E191" s="24">
        <v>0.8</v>
      </c>
    </row>
    <row r="192" spans="1:5" x14ac:dyDescent="0.25">
      <c r="A192" s="5">
        <v>50892</v>
      </c>
      <c r="B192" s="26">
        <v>0.95</v>
      </c>
      <c r="C192" s="26">
        <v>0.95</v>
      </c>
      <c r="D192" s="24">
        <v>1</v>
      </c>
      <c r="E192" s="24">
        <v>0.8</v>
      </c>
    </row>
    <row r="193" spans="1:5" x14ac:dyDescent="0.25">
      <c r="A193" s="5">
        <v>50922</v>
      </c>
      <c r="B193" s="26">
        <v>0.95</v>
      </c>
      <c r="C193" s="26">
        <v>0.95</v>
      </c>
      <c r="D193" s="24">
        <v>1</v>
      </c>
      <c r="E193" s="24">
        <v>0.8</v>
      </c>
    </row>
    <row r="194" spans="1:5" x14ac:dyDescent="0.25">
      <c r="A194" s="5">
        <v>50952</v>
      </c>
      <c r="B194" s="26">
        <v>0.95</v>
      </c>
      <c r="C194" s="26">
        <v>0.95</v>
      </c>
      <c r="D194" s="24">
        <v>1</v>
      </c>
      <c r="E194" s="24">
        <v>0.8</v>
      </c>
    </row>
    <row r="195" spans="1:5" x14ac:dyDescent="0.25">
      <c r="A195" s="5">
        <v>50983</v>
      </c>
      <c r="B195" s="26">
        <v>0.95</v>
      </c>
      <c r="C195" s="26">
        <v>0.95</v>
      </c>
      <c r="D195" s="24">
        <v>1</v>
      </c>
      <c r="E195" s="24">
        <v>0.8</v>
      </c>
    </row>
    <row r="196" spans="1:5" x14ac:dyDescent="0.25">
      <c r="A196" s="5">
        <v>51014</v>
      </c>
      <c r="B196" s="26">
        <v>0.95</v>
      </c>
      <c r="C196" s="26">
        <v>0.95</v>
      </c>
      <c r="D196" s="24">
        <v>1</v>
      </c>
      <c r="E196" s="24">
        <v>0.8</v>
      </c>
    </row>
    <row r="197" spans="1:5" x14ac:dyDescent="0.25">
      <c r="A197" s="5">
        <v>51046</v>
      </c>
      <c r="B197" s="26">
        <v>0.95</v>
      </c>
      <c r="C197" s="26">
        <v>0.95</v>
      </c>
      <c r="D197" s="24">
        <v>1</v>
      </c>
      <c r="E197" s="24">
        <v>0.8</v>
      </c>
    </row>
    <row r="198" spans="1:5" x14ac:dyDescent="0.25">
      <c r="A198" s="5">
        <v>51075</v>
      </c>
      <c r="B198" s="26">
        <v>0.95</v>
      </c>
      <c r="C198" s="26">
        <v>0.95</v>
      </c>
      <c r="D198" s="24">
        <v>1</v>
      </c>
      <c r="E198" s="24">
        <v>0.8</v>
      </c>
    </row>
    <row r="199" spans="1:5" x14ac:dyDescent="0.25">
      <c r="A199" s="5">
        <v>51105</v>
      </c>
      <c r="B199" s="26">
        <v>0.95</v>
      </c>
      <c r="C199" s="26">
        <v>0.95</v>
      </c>
      <c r="D199" s="24">
        <v>1</v>
      </c>
      <c r="E199" s="24">
        <v>0.8</v>
      </c>
    </row>
    <row r="200" spans="1:5" x14ac:dyDescent="0.25">
      <c r="A200" s="5">
        <v>51138</v>
      </c>
      <c r="B200" s="26">
        <v>0.95</v>
      </c>
      <c r="C200" s="26">
        <v>0.95</v>
      </c>
      <c r="D200" s="24">
        <v>1</v>
      </c>
      <c r="E200" s="24">
        <v>0.8</v>
      </c>
    </row>
    <row r="201" spans="1:5" x14ac:dyDescent="0.25">
      <c r="A201" s="5">
        <v>51167</v>
      </c>
      <c r="B201" s="26">
        <v>0.95</v>
      </c>
      <c r="C201" s="26">
        <v>0.95</v>
      </c>
      <c r="D201" s="24">
        <v>1</v>
      </c>
      <c r="E201" s="24">
        <v>0.8</v>
      </c>
    </row>
    <row r="202" spans="1:5" x14ac:dyDescent="0.25">
      <c r="A202" s="5">
        <v>51196</v>
      </c>
      <c r="B202" s="26">
        <v>0.95</v>
      </c>
      <c r="C202" s="26">
        <v>0.95</v>
      </c>
      <c r="D202" s="24">
        <v>1</v>
      </c>
      <c r="E202" s="24">
        <v>0.8</v>
      </c>
    </row>
    <row r="203" spans="1:5" x14ac:dyDescent="0.25">
      <c r="A203" s="5">
        <v>51228</v>
      </c>
      <c r="B203" s="26">
        <v>0.95</v>
      </c>
      <c r="C203" s="26">
        <v>0.95</v>
      </c>
      <c r="D203" s="24">
        <v>1</v>
      </c>
      <c r="E203" s="24">
        <v>0.8</v>
      </c>
    </row>
    <row r="204" spans="1:5" x14ac:dyDescent="0.25">
      <c r="A204" s="5">
        <v>51257</v>
      </c>
      <c r="B204" s="26">
        <v>0.95</v>
      </c>
      <c r="C204" s="26">
        <v>0.95</v>
      </c>
      <c r="D204" s="24">
        <v>1</v>
      </c>
      <c r="E204" s="24">
        <v>0.8</v>
      </c>
    </row>
    <row r="205" spans="1:5" x14ac:dyDescent="0.25">
      <c r="A205" s="5">
        <v>51288</v>
      </c>
      <c r="B205" s="26">
        <v>0.95</v>
      </c>
      <c r="C205" s="26">
        <v>0.95</v>
      </c>
      <c r="D205" s="24">
        <v>1</v>
      </c>
      <c r="E205" s="24">
        <v>0.8</v>
      </c>
    </row>
    <row r="206" spans="1:5" x14ac:dyDescent="0.25">
      <c r="A206" s="5">
        <v>51319</v>
      </c>
      <c r="B206" s="26">
        <v>0.95</v>
      </c>
      <c r="C206" s="26">
        <v>0.95</v>
      </c>
      <c r="D206" s="24">
        <v>1</v>
      </c>
      <c r="E206" s="24">
        <v>0.8</v>
      </c>
    </row>
    <row r="207" spans="1:5" x14ac:dyDescent="0.25">
      <c r="A207" s="5">
        <v>51349</v>
      </c>
      <c r="B207" s="26">
        <v>0.95</v>
      </c>
      <c r="C207" s="26">
        <v>0.95</v>
      </c>
      <c r="D207" s="24">
        <v>1</v>
      </c>
      <c r="E207" s="24">
        <v>0.8</v>
      </c>
    </row>
    <row r="208" spans="1:5" x14ac:dyDescent="0.25">
      <c r="A208" s="5">
        <v>51383</v>
      </c>
      <c r="B208" s="26">
        <v>0.95</v>
      </c>
      <c r="C208" s="26">
        <v>0.95</v>
      </c>
      <c r="D208" s="24">
        <v>1</v>
      </c>
      <c r="E208" s="24">
        <v>0.8</v>
      </c>
    </row>
    <row r="209" spans="1:5" x14ac:dyDescent="0.25">
      <c r="A209" s="5">
        <v>51410</v>
      </c>
      <c r="B209" s="26">
        <v>0.95</v>
      </c>
      <c r="C209" s="26">
        <v>0.95</v>
      </c>
      <c r="D209" s="24">
        <v>1</v>
      </c>
      <c r="E209" s="24">
        <v>0.8</v>
      </c>
    </row>
    <row r="210" spans="1:5" x14ac:dyDescent="0.25">
      <c r="A210" s="5">
        <v>51441</v>
      </c>
      <c r="B210" s="26">
        <v>0.95</v>
      </c>
      <c r="C210" s="26">
        <v>0.95</v>
      </c>
      <c r="D210" s="24">
        <v>1</v>
      </c>
      <c r="E210" s="24">
        <v>0.8</v>
      </c>
    </row>
    <row r="211" spans="1:5" x14ac:dyDescent="0.25">
      <c r="A211" s="5">
        <v>51473</v>
      </c>
      <c r="B211" s="26">
        <v>0.95</v>
      </c>
      <c r="C211" s="26">
        <v>0.95</v>
      </c>
      <c r="D211" s="24">
        <v>1</v>
      </c>
      <c r="E211" s="24">
        <v>0.8</v>
      </c>
    </row>
    <row r="212" spans="1:5" x14ac:dyDescent="0.25">
      <c r="A212" s="5">
        <v>51503</v>
      </c>
      <c r="B212" s="26">
        <v>0.95</v>
      </c>
      <c r="C212" s="26">
        <v>0.95</v>
      </c>
      <c r="D212" s="24">
        <v>1</v>
      </c>
      <c r="E212" s="24">
        <v>0.8</v>
      </c>
    </row>
    <row r="213" spans="1:5" x14ac:dyDescent="0.25">
      <c r="A213" s="5">
        <v>51533</v>
      </c>
      <c r="B213" s="26">
        <v>0.95</v>
      </c>
      <c r="C213" s="26">
        <v>0.95</v>
      </c>
      <c r="D213" s="24">
        <v>1</v>
      </c>
      <c r="E213" s="24">
        <v>0.8</v>
      </c>
    </row>
    <row r="214" spans="1:5" x14ac:dyDescent="0.25">
      <c r="A214" s="5">
        <v>51561</v>
      </c>
      <c r="B214" s="26">
        <v>0.95</v>
      </c>
      <c r="C214" s="26">
        <v>0.95</v>
      </c>
      <c r="D214" s="24">
        <v>1</v>
      </c>
      <c r="E214" s="24">
        <v>0.8</v>
      </c>
    </row>
    <row r="215" spans="1:5" x14ac:dyDescent="0.25">
      <c r="A215" s="5">
        <v>51592</v>
      </c>
      <c r="B215" s="26">
        <v>0.95</v>
      </c>
      <c r="C215" s="26">
        <v>0.95</v>
      </c>
      <c r="D215" s="24">
        <v>1</v>
      </c>
      <c r="E215" s="24">
        <v>0.8</v>
      </c>
    </row>
    <row r="216" spans="1:5" x14ac:dyDescent="0.25">
      <c r="A216" s="5">
        <v>51622</v>
      </c>
      <c r="B216" s="26">
        <v>0.95</v>
      </c>
      <c r="C216" s="26">
        <v>0.95</v>
      </c>
      <c r="D216" s="24">
        <v>1</v>
      </c>
      <c r="E216" s="24">
        <v>0.8</v>
      </c>
    </row>
    <row r="217" spans="1:5" x14ac:dyDescent="0.25">
      <c r="A217" s="5">
        <v>51655</v>
      </c>
      <c r="B217" s="26">
        <v>0.95</v>
      </c>
      <c r="C217" s="26">
        <v>0.95</v>
      </c>
      <c r="D217" s="24">
        <v>1</v>
      </c>
      <c r="E217" s="24">
        <v>0.8</v>
      </c>
    </row>
    <row r="218" spans="1:5" x14ac:dyDescent="0.25">
      <c r="A218" s="5">
        <v>51683</v>
      </c>
      <c r="B218" s="26">
        <v>0.95</v>
      </c>
      <c r="C218" s="26">
        <v>0.95</v>
      </c>
      <c r="D218" s="24">
        <v>1</v>
      </c>
      <c r="E218" s="24">
        <v>0.8</v>
      </c>
    </row>
    <row r="219" spans="1:5" x14ac:dyDescent="0.25">
      <c r="A219" s="5">
        <v>51714</v>
      </c>
      <c r="B219" s="26">
        <v>0.95</v>
      </c>
      <c r="C219" s="26">
        <v>0.95</v>
      </c>
      <c r="D219" s="24">
        <v>1</v>
      </c>
      <c r="E219" s="24">
        <v>0.8</v>
      </c>
    </row>
    <row r="220" spans="1:5" x14ac:dyDescent="0.25">
      <c r="A220" s="5">
        <v>51747</v>
      </c>
      <c r="B220" s="26">
        <v>0.95</v>
      </c>
      <c r="C220" s="26">
        <v>0.95</v>
      </c>
      <c r="D220" s="24">
        <v>1</v>
      </c>
      <c r="E220" s="24">
        <v>0.8</v>
      </c>
    </row>
    <row r="221" spans="1:5" x14ac:dyDescent="0.25">
      <c r="A221" s="5">
        <v>51775</v>
      </c>
      <c r="B221" s="26">
        <v>0.95</v>
      </c>
      <c r="C221" s="26">
        <v>0.95</v>
      </c>
      <c r="D221" s="24">
        <v>1</v>
      </c>
      <c r="E221" s="24">
        <v>0.8</v>
      </c>
    </row>
    <row r="222" spans="1:5" x14ac:dyDescent="0.25">
      <c r="A222" s="5">
        <v>51806</v>
      </c>
      <c r="B222" s="26">
        <v>0.95</v>
      </c>
      <c r="C222" s="26">
        <v>0.95</v>
      </c>
      <c r="D222" s="24">
        <v>1</v>
      </c>
      <c r="E222" s="24">
        <v>0.8</v>
      </c>
    </row>
    <row r="223" spans="1:5" x14ac:dyDescent="0.25">
      <c r="A223" s="5">
        <v>51837</v>
      </c>
      <c r="B223" s="26">
        <v>0.95</v>
      </c>
      <c r="C223" s="26">
        <v>0.95</v>
      </c>
      <c r="D223" s="24">
        <v>1</v>
      </c>
      <c r="E223" s="24">
        <v>0.8</v>
      </c>
    </row>
    <row r="224" spans="1:5" x14ac:dyDescent="0.25">
      <c r="A224" s="5">
        <v>51868</v>
      </c>
      <c r="B224" s="26">
        <v>0.95</v>
      </c>
      <c r="C224" s="26">
        <v>0.95</v>
      </c>
      <c r="D224" s="24">
        <v>1</v>
      </c>
      <c r="E224" s="24">
        <v>0.8</v>
      </c>
    </row>
    <row r="225" spans="1:5" x14ac:dyDescent="0.25">
      <c r="A225" s="5">
        <v>51900</v>
      </c>
      <c r="B225" s="26">
        <v>0.95</v>
      </c>
      <c r="C225" s="26">
        <v>0.95</v>
      </c>
      <c r="D225" s="24">
        <v>1</v>
      </c>
      <c r="E225" s="24">
        <v>0.8</v>
      </c>
    </row>
    <row r="226" spans="1:5" x14ac:dyDescent="0.25">
      <c r="A226" s="5">
        <v>51928</v>
      </c>
      <c r="B226" s="26">
        <v>0.95</v>
      </c>
      <c r="C226" s="26">
        <v>0.95</v>
      </c>
      <c r="D226" s="24">
        <v>1</v>
      </c>
      <c r="E226" s="24">
        <v>0.8</v>
      </c>
    </row>
    <row r="227" spans="1:5" x14ac:dyDescent="0.25">
      <c r="A227" s="5">
        <v>51957</v>
      </c>
      <c r="B227" s="26">
        <v>0.95</v>
      </c>
      <c r="C227" s="26">
        <v>0.95</v>
      </c>
      <c r="D227" s="24">
        <v>1</v>
      </c>
      <c r="E227" s="24">
        <v>0.8</v>
      </c>
    </row>
    <row r="228" spans="1:5" x14ac:dyDescent="0.25">
      <c r="A228" s="5">
        <v>51987</v>
      </c>
      <c r="B228" s="26">
        <v>0.95</v>
      </c>
      <c r="C228" s="26">
        <v>0.95</v>
      </c>
      <c r="D228" s="24">
        <v>1</v>
      </c>
      <c r="E228" s="24">
        <v>0.8</v>
      </c>
    </row>
    <row r="229" spans="1:5" x14ac:dyDescent="0.25">
      <c r="A229" s="5">
        <v>52019</v>
      </c>
      <c r="B229" s="26">
        <v>0.95</v>
      </c>
      <c r="C229" s="26">
        <v>0.95</v>
      </c>
      <c r="D229" s="24">
        <v>1</v>
      </c>
      <c r="E229" s="24">
        <v>0.8</v>
      </c>
    </row>
    <row r="230" spans="1:5" x14ac:dyDescent="0.25">
      <c r="A230" s="5">
        <v>52048</v>
      </c>
      <c r="B230" s="26">
        <v>0.95</v>
      </c>
      <c r="C230" s="26">
        <v>0.95</v>
      </c>
      <c r="D230" s="24">
        <v>1</v>
      </c>
      <c r="E230" s="24">
        <v>0.8</v>
      </c>
    </row>
    <row r="231" spans="1:5" x14ac:dyDescent="0.25">
      <c r="A231" s="5">
        <v>52079</v>
      </c>
      <c r="B231" s="26">
        <v>0.95</v>
      </c>
      <c r="C231" s="26">
        <v>0.95</v>
      </c>
      <c r="D231" s="24">
        <v>1</v>
      </c>
      <c r="E231" s="24">
        <v>0.8</v>
      </c>
    </row>
    <row r="232" spans="1:5" x14ac:dyDescent="0.25">
      <c r="A232" s="5">
        <v>52111</v>
      </c>
      <c r="B232" s="26">
        <v>0.95</v>
      </c>
      <c r="C232" s="26">
        <v>0.95</v>
      </c>
      <c r="D232" s="24">
        <v>1</v>
      </c>
      <c r="E232" s="24">
        <v>0.8</v>
      </c>
    </row>
    <row r="233" spans="1:5" x14ac:dyDescent="0.25">
      <c r="A233" s="5">
        <v>52140</v>
      </c>
      <c r="B233" s="26">
        <v>0.95</v>
      </c>
      <c r="C233" s="26">
        <v>0.95</v>
      </c>
      <c r="D233" s="24">
        <v>1</v>
      </c>
      <c r="E233" s="24">
        <v>0.8</v>
      </c>
    </row>
    <row r="234" spans="1:5" x14ac:dyDescent="0.25">
      <c r="A234" s="5">
        <v>52173</v>
      </c>
      <c r="B234" s="26">
        <v>0.95</v>
      </c>
      <c r="C234" s="26">
        <v>0.95</v>
      </c>
      <c r="D234" s="24">
        <v>1</v>
      </c>
      <c r="E234" s="24">
        <v>0.8</v>
      </c>
    </row>
    <row r="235" spans="1:5" x14ac:dyDescent="0.25">
      <c r="A235" s="5">
        <v>52201</v>
      </c>
      <c r="B235" s="26">
        <v>0.95</v>
      </c>
      <c r="C235" s="26">
        <v>0.95</v>
      </c>
      <c r="D235" s="24">
        <v>1</v>
      </c>
      <c r="E235" s="24">
        <v>0.8</v>
      </c>
    </row>
    <row r="236" spans="1:5" x14ac:dyDescent="0.25">
      <c r="A236" s="5">
        <v>52233</v>
      </c>
      <c r="B236" s="26">
        <v>0.95</v>
      </c>
      <c r="C236" s="26">
        <v>0.95</v>
      </c>
      <c r="D236" s="24">
        <v>1</v>
      </c>
      <c r="E236" s="24">
        <v>0.8</v>
      </c>
    </row>
    <row r="237" spans="1:5" x14ac:dyDescent="0.25">
      <c r="A237" s="5">
        <v>52264</v>
      </c>
      <c r="B237" s="26">
        <v>0.95</v>
      </c>
      <c r="C237" s="26">
        <v>0.95</v>
      </c>
      <c r="D237" s="24">
        <v>1</v>
      </c>
      <c r="E237" s="24">
        <v>0.8</v>
      </c>
    </row>
    <row r="238" spans="1:5" x14ac:dyDescent="0.25">
      <c r="A238" s="5">
        <v>52292</v>
      </c>
      <c r="B238" s="26">
        <v>0.95</v>
      </c>
      <c r="C238" s="26">
        <v>0.95</v>
      </c>
      <c r="D238" s="24">
        <v>1</v>
      </c>
      <c r="E238" s="24">
        <v>0.8</v>
      </c>
    </row>
    <row r="239" spans="1:5" x14ac:dyDescent="0.25">
      <c r="A239" s="5">
        <v>52322</v>
      </c>
      <c r="B239" s="26">
        <v>0.95</v>
      </c>
      <c r="C239" s="26">
        <v>0.95</v>
      </c>
      <c r="D239" s="24">
        <v>1</v>
      </c>
      <c r="E239" s="24">
        <v>0.8</v>
      </c>
    </row>
    <row r="240" spans="1:5" x14ac:dyDescent="0.25">
      <c r="A240" s="5">
        <v>52352</v>
      </c>
      <c r="B240" s="26">
        <v>0.95</v>
      </c>
      <c r="C240" s="26">
        <v>0.95</v>
      </c>
      <c r="D240" s="24">
        <v>1</v>
      </c>
      <c r="E240" s="24">
        <v>0.8</v>
      </c>
    </row>
    <row r="241" spans="1:5" x14ac:dyDescent="0.25">
      <c r="A241" s="5">
        <v>52383</v>
      </c>
      <c r="B241" s="26">
        <v>0.95</v>
      </c>
      <c r="C241" s="26">
        <v>0.95</v>
      </c>
      <c r="D241" s="24">
        <v>1</v>
      </c>
      <c r="E241" s="24">
        <v>0.8</v>
      </c>
    </row>
    <row r="242" spans="1:5" x14ac:dyDescent="0.25">
      <c r="A242" s="5">
        <v>52413</v>
      </c>
      <c r="B242" s="26">
        <v>0.95</v>
      </c>
      <c r="C242" s="26">
        <v>0.95</v>
      </c>
      <c r="D242" s="24">
        <v>1</v>
      </c>
      <c r="E242" s="24">
        <v>0.8</v>
      </c>
    </row>
    <row r="243" spans="1:5" x14ac:dyDescent="0.25">
      <c r="A243" s="5">
        <v>52446</v>
      </c>
      <c r="B243" s="26">
        <v>0.95</v>
      </c>
      <c r="C243" s="26">
        <v>0.95</v>
      </c>
      <c r="D243" s="24">
        <v>1</v>
      </c>
      <c r="E243" s="24">
        <v>0.8</v>
      </c>
    </row>
    <row r="244" spans="1:5" x14ac:dyDescent="0.25">
      <c r="A244" s="5">
        <v>52475</v>
      </c>
      <c r="B244" s="26">
        <v>0.95</v>
      </c>
      <c r="C244" s="26">
        <v>0.95</v>
      </c>
      <c r="D244" s="24">
        <v>1</v>
      </c>
      <c r="E244" s="24">
        <v>0.8</v>
      </c>
    </row>
    <row r="245" spans="1:5" x14ac:dyDescent="0.25">
      <c r="A245" s="5">
        <v>52505</v>
      </c>
      <c r="B245" s="26">
        <v>0.95</v>
      </c>
      <c r="C245" s="26">
        <v>0.95</v>
      </c>
      <c r="D245" s="24">
        <v>1</v>
      </c>
      <c r="E245" s="24">
        <v>0.8</v>
      </c>
    </row>
    <row r="246" spans="1:5" x14ac:dyDescent="0.25">
      <c r="A246" s="5">
        <v>52537</v>
      </c>
      <c r="B246" s="26">
        <v>0.95</v>
      </c>
      <c r="C246" s="26">
        <v>0.95</v>
      </c>
      <c r="D246" s="24">
        <v>1</v>
      </c>
      <c r="E246" s="24">
        <v>0.8</v>
      </c>
    </row>
    <row r="247" spans="1:5" x14ac:dyDescent="0.25">
      <c r="A247" s="5">
        <v>52566</v>
      </c>
      <c r="B247" s="26">
        <v>0.95</v>
      </c>
      <c r="C247" s="26">
        <v>0.95</v>
      </c>
      <c r="D247" s="24">
        <v>1</v>
      </c>
      <c r="E247" s="24">
        <v>0.8</v>
      </c>
    </row>
    <row r="248" spans="1:5" x14ac:dyDescent="0.25">
      <c r="A248" s="5">
        <v>52600</v>
      </c>
      <c r="B248" s="26">
        <v>0.95</v>
      </c>
      <c r="C248" s="26">
        <v>0.95</v>
      </c>
      <c r="D248" s="24">
        <v>1</v>
      </c>
      <c r="E248" s="24">
        <v>0.8</v>
      </c>
    </row>
    <row r="249" spans="1:5" x14ac:dyDescent="0.25">
      <c r="A249" s="5">
        <v>52628</v>
      </c>
      <c r="B249" s="26">
        <v>0.95</v>
      </c>
      <c r="C249" s="26">
        <v>0.95</v>
      </c>
      <c r="D249" s="24">
        <v>1</v>
      </c>
      <c r="E249" s="24">
        <v>0.8</v>
      </c>
    </row>
    <row r="250" spans="1:5" x14ac:dyDescent="0.25">
      <c r="A250" s="5">
        <v>52657</v>
      </c>
      <c r="B250" s="26">
        <v>0.95</v>
      </c>
      <c r="C250" s="26">
        <v>0.95</v>
      </c>
      <c r="D250" s="24">
        <v>1</v>
      </c>
      <c r="E250" s="24">
        <v>0.8</v>
      </c>
    </row>
    <row r="251" spans="1:5" x14ac:dyDescent="0.25">
      <c r="A251" s="5">
        <v>52688</v>
      </c>
      <c r="B251" s="26">
        <v>0.95</v>
      </c>
      <c r="C251" s="26">
        <v>0.95</v>
      </c>
      <c r="D251" s="24">
        <v>1</v>
      </c>
      <c r="E251" s="24">
        <v>0.8</v>
      </c>
    </row>
    <row r="252" spans="1:5" x14ac:dyDescent="0.25">
      <c r="A252" s="5">
        <v>52719</v>
      </c>
      <c r="B252" s="26">
        <v>0.95</v>
      </c>
      <c r="C252" s="26">
        <v>0.95</v>
      </c>
      <c r="D252" s="24">
        <v>1</v>
      </c>
      <c r="E252" s="24">
        <v>0.8</v>
      </c>
    </row>
    <row r="253" spans="1:5" x14ac:dyDescent="0.25">
      <c r="A253" s="5">
        <v>52749</v>
      </c>
      <c r="B253" s="26">
        <v>0.95</v>
      </c>
      <c r="C253" s="26">
        <v>0.95</v>
      </c>
      <c r="D253" s="24">
        <v>1</v>
      </c>
      <c r="E253" s="24">
        <v>0.8</v>
      </c>
    </row>
    <row r="254" spans="1:5" x14ac:dyDescent="0.25">
      <c r="A254" s="5">
        <v>52779</v>
      </c>
      <c r="B254" s="26">
        <v>0.95</v>
      </c>
      <c r="C254" s="26">
        <v>0.95</v>
      </c>
      <c r="D254" s="24">
        <v>1</v>
      </c>
      <c r="E254" s="24">
        <v>0.8</v>
      </c>
    </row>
    <row r="255" spans="1:5" x14ac:dyDescent="0.25">
      <c r="A255" s="5">
        <v>52810</v>
      </c>
      <c r="B255" s="26">
        <v>0.95</v>
      </c>
      <c r="C255" s="26">
        <v>0.95</v>
      </c>
      <c r="D255" s="24">
        <v>1</v>
      </c>
      <c r="E255" s="24">
        <v>0.8</v>
      </c>
    </row>
    <row r="256" spans="1:5" x14ac:dyDescent="0.25">
      <c r="A256" s="5">
        <v>52841</v>
      </c>
      <c r="B256" s="26">
        <v>0.95</v>
      </c>
      <c r="C256" s="26">
        <v>0.95</v>
      </c>
      <c r="D256" s="24">
        <v>1</v>
      </c>
      <c r="E256" s="24">
        <v>0.8</v>
      </c>
    </row>
    <row r="257" spans="1:5" x14ac:dyDescent="0.25">
      <c r="A257" s="5">
        <v>52873</v>
      </c>
      <c r="B257" s="26">
        <v>0.95</v>
      </c>
      <c r="C257" s="26">
        <v>0.95</v>
      </c>
      <c r="D257" s="24">
        <v>1</v>
      </c>
      <c r="E257" s="24">
        <v>0.8</v>
      </c>
    </row>
    <row r="258" spans="1:5" x14ac:dyDescent="0.25">
      <c r="A258" s="5">
        <v>52902</v>
      </c>
      <c r="B258" s="26">
        <v>0.95</v>
      </c>
      <c r="C258" s="26">
        <v>0.95</v>
      </c>
      <c r="D258" s="24">
        <v>1</v>
      </c>
      <c r="E258" s="24">
        <v>0.8</v>
      </c>
    </row>
    <row r="259" spans="1:5" x14ac:dyDescent="0.25">
      <c r="A259" s="5">
        <v>52932</v>
      </c>
      <c r="B259" s="26">
        <v>0.95</v>
      </c>
      <c r="C259" s="26">
        <v>0.95</v>
      </c>
      <c r="D259" s="24">
        <v>1</v>
      </c>
      <c r="E259" s="24">
        <v>0.8</v>
      </c>
    </row>
    <row r="260" spans="1:5" x14ac:dyDescent="0.25">
      <c r="A260" s="5">
        <v>52965</v>
      </c>
      <c r="B260" s="26">
        <v>0.95</v>
      </c>
      <c r="C260" s="26">
        <v>0.95</v>
      </c>
      <c r="D260" s="24">
        <v>1</v>
      </c>
      <c r="E260" s="24">
        <v>0.8</v>
      </c>
    </row>
    <row r="261" spans="1:5" x14ac:dyDescent="0.25">
      <c r="A261" s="5">
        <v>52994</v>
      </c>
      <c r="B261" s="26">
        <v>0.95</v>
      </c>
      <c r="C261" s="26">
        <v>0.95</v>
      </c>
      <c r="D261" s="24">
        <v>1</v>
      </c>
      <c r="E261" s="24">
        <v>0.8</v>
      </c>
    </row>
    <row r="262" spans="1:5" x14ac:dyDescent="0.25">
      <c r="A262" s="5">
        <v>53022</v>
      </c>
      <c r="B262" s="26">
        <v>0.95</v>
      </c>
      <c r="C262" s="26">
        <v>0.95</v>
      </c>
      <c r="D262" s="24">
        <v>1</v>
      </c>
      <c r="E262" s="24">
        <v>0.8</v>
      </c>
    </row>
    <row r="263" spans="1:5" x14ac:dyDescent="0.25">
      <c r="A263" s="5">
        <v>53055</v>
      </c>
      <c r="B263" s="26">
        <v>0.95</v>
      </c>
      <c r="C263" s="26">
        <v>0.95</v>
      </c>
      <c r="D263" s="24">
        <v>1</v>
      </c>
      <c r="E263" s="24">
        <v>0.8</v>
      </c>
    </row>
    <row r="264" spans="1:5" x14ac:dyDescent="0.25">
      <c r="A264" s="5">
        <v>53083</v>
      </c>
      <c r="B264" s="26">
        <v>0.95</v>
      </c>
      <c r="C264" s="26">
        <v>0.95</v>
      </c>
      <c r="D264" s="24">
        <v>1</v>
      </c>
      <c r="E264" s="24">
        <v>0.8</v>
      </c>
    </row>
    <row r="265" spans="1:5" x14ac:dyDescent="0.25">
      <c r="A265" s="5">
        <v>53114</v>
      </c>
      <c r="B265" s="26">
        <v>0.95</v>
      </c>
      <c r="C265" s="26">
        <v>0.95</v>
      </c>
      <c r="D265" s="24">
        <v>1</v>
      </c>
      <c r="E265" s="24">
        <v>0.8</v>
      </c>
    </row>
    <row r="266" spans="1:5" x14ac:dyDescent="0.25">
      <c r="A266" s="5">
        <v>53146</v>
      </c>
      <c r="B266" s="26">
        <v>0.95</v>
      </c>
      <c r="C266" s="26">
        <v>0.95</v>
      </c>
      <c r="D266" s="24">
        <v>1</v>
      </c>
      <c r="E266" s="24">
        <v>0.8</v>
      </c>
    </row>
    <row r="267" spans="1:5" x14ac:dyDescent="0.25">
      <c r="A267" s="5">
        <v>53175</v>
      </c>
      <c r="B267" s="26">
        <v>0.95</v>
      </c>
      <c r="C267" s="26">
        <v>0.95</v>
      </c>
      <c r="D267" s="24">
        <v>1</v>
      </c>
      <c r="E267" s="24">
        <v>0.8</v>
      </c>
    </row>
    <row r="268" spans="1:5" x14ac:dyDescent="0.25">
      <c r="A268" s="5">
        <v>53206</v>
      </c>
      <c r="B268" s="26">
        <v>0.95</v>
      </c>
      <c r="C268" s="26">
        <v>0.95</v>
      </c>
      <c r="D268" s="24">
        <v>1</v>
      </c>
      <c r="E268" s="24">
        <v>0.8</v>
      </c>
    </row>
    <row r="269" spans="1:5" x14ac:dyDescent="0.25">
      <c r="A269" s="5">
        <v>53237</v>
      </c>
      <c r="B269" s="26">
        <v>0.95</v>
      </c>
      <c r="C269" s="26">
        <v>0.95</v>
      </c>
      <c r="D269" s="24">
        <v>1</v>
      </c>
      <c r="E269" s="24">
        <v>0.8</v>
      </c>
    </row>
    <row r="270" spans="1:5" x14ac:dyDescent="0.25">
      <c r="A270" s="5">
        <v>53267</v>
      </c>
      <c r="B270" s="26">
        <v>0.95</v>
      </c>
      <c r="C270" s="26">
        <v>0.95</v>
      </c>
      <c r="D270" s="24">
        <v>1</v>
      </c>
      <c r="E270" s="24">
        <v>0.8</v>
      </c>
    </row>
    <row r="271" spans="1:5" x14ac:dyDescent="0.25">
      <c r="A271" s="5">
        <v>53297</v>
      </c>
      <c r="B271" s="26">
        <v>0.95</v>
      </c>
      <c r="C271" s="26">
        <v>0.95</v>
      </c>
      <c r="D271" s="24">
        <v>1</v>
      </c>
      <c r="E271" s="24">
        <v>0.8</v>
      </c>
    </row>
    <row r="272" spans="1:5" x14ac:dyDescent="0.25">
      <c r="A272" s="5">
        <v>53329</v>
      </c>
      <c r="B272" s="26">
        <v>0.95</v>
      </c>
      <c r="C272" s="26">
        <v>0.95</v>
      </c>
      <c r="D272" s="24">
        <v>1</v>
      </c>
      <c r="E272" s="24">
        <v>0.8</v>
      </c>
    </row>
    <row r="273" spans="1:5" x14ac:dyDescent="0.25">
      <c r="A273" s="5">
        <v>53359</v>
      </c>
      <c r="B273" s="26">
        <v>0.95</v>
      </c>
      <c r="C273" s="26">
        <v>0.95</v>
      </c>
      <c r="D273" s="24">
        <v>1</v>
      </c>
      <c r="E273" s="24">
        <v>0.8</v>
      </c>
    </row>
    <row r="274" spans="1:5" x14ac:dyDescent="0.25">
      <c r="A274" s="5">
        <v>53387</v>
      </c>
      <c r="B274" s="26">
        <v>0.95</v>
      </c>
      <c r="C274" s="26">
        <v>0.95</v>
      </c>
      <c r="D274" s="24">
        <v>1</v>
      </c>
      <c r="E274" s="24">
        <v>0.8</v>
      </c>
    </row>
    <row r="275" spans="1:5" x14ac:dyDescent="0.25">
      <c r="A275" s="5">
        <v>53419</v>
      </c>
      <c r="B275" s="26">
        <v>0.95</v>
      </c>
      <c r="C275" s="26">
        <v>0.95</v>
      </c>
      <c r="D275" s="24">
        <v>1</v>
      </c>
      <c r="E275" s="24">
        <v>0.8</v>
      </c>
    </row>
    <row r="276" spans="1:5" x14ac:dyDescent="0.25">
      <c r="A276" s="5">
        <v>53448</v>
      </c>
      <c r="B276" s="26">
        <v>0.95</v>
      </c>
      <c r="C276" s="26">
        <v>0.95</v>
      </c>
      <c r="D276" s="24">
        <v>1</v>
      </c>
      <c r="E276" s="24">
        <v>0.8</v>
      </c>
    </row>
    <row r="277" spans="1:5" x14ac:dyDescent="0.25">
      <c r="A277" s="5">
        <v>53479</v>
      </c>
      <c r="B277" s="26">
        <v>0.95</v>
      </c>
      <c r="C277" s="26">
        <v>0.95</v>
      </c>
      <c r="D277" s="24">
        <v>1</v>
      </c>
      <c r="E277" s="24">
        <v>0.8</v>
      </c>
    </row>
    <row r="278" spans="1:5" x14ac:dyDescent="0.25">
      <c r="A278" s="5">
        <v>53510</v>
      </c>
      <c r="B278" s="26">
        <v>0.95</v>
      </c>
      <c r="C278" s="26">
        <v>0.95</v>
      </c>
      <c r="D278" s="24">
        <v>1</v>
      </c>
      <c r="E278" s="24">
        <v>0.8</v>
      </c>
    </row>
    <row r="279" spans="1:5" x14ac:dyDescent="0.25">
      <c r="A279" s="5">
        <v>53540</v>
      </c>
      <c r="B279" s="26">
        <v>0.95</v>
      </c>
      <c r="C279" s="26">
        <v>0.95</v>
      </c>
      <c r="D279" s="24">
        <v>1</v>
      </c>
      <c r="E279" s="24">
        <v>0.8</v>
      </c>
    </row>
    <row r="280" spans="1:5" x14ac:dyDescent="0.25">
      <c r="A280" s="5">
        <v>53574</v>
      </c>
      <c r="B280" s="26">
        <v>0.95</v>
      </c>
      <c r="C280" s="26">
        <v>0.95</v>
      </c>
      <c r="D280" s="24">
        <v>1</v>
      </c>
      <c r="E280" s="24">
        <v>0.8</v>
      </c>
    </row>
    <row r="281" spans="1:5" x14ac:dyDescent="0.25">
      <c r="A281" s="5">
        <v>53601</v>
      </c>
      <c r="B281" s="26">
        <v>0.95</v>
      </c>
      <c r="C281" s="26">
        <v>0.95</v>
      </c>
      <c r="D281" s="24">
        <v>1</v>
      </c>
      <c r="E281" s="24">
        <v>0.8</v>
      </c>
    </row>
    <row r="282" spans="1:5" x14ac:dyDescent="0.25">
      <c r="A282" s="5">
        <v>53632</v>
      </c>
      <c r="B282" s="26">
        <v>0.95</v>
      </c>
      <c r="C282" s="26">
        <v>0.95</v>
      </c>
      <c r="D282" s="24">
        <v>1</v>
      </c>
      <c r="E282" s="24">
        <v>0.8</v>
      </c>
    </row>
    <row r="283" spans="1:5" x14ac:dyDescent="0.25">
      <c r="A283" s="5">
        <v>53664</v>
      </c>
      <c r="B283" s="26">
        <v>0.95</v>
      </c>
      <c r="C283" s="26">
        <v>0.95</v>
      </c>
      <c r="D283" s="24">
        <v>1</v>
      </c>
      <c r="E283" s="24">
        <v>0.8</v>
      </c>
    </row>
    <row r="284" spans="1:5" x14ac:dyDescent="0.25">
      <c r="A284" s="5">
        <v>53694</v>
      </c>
      <c r="B284" s="26">
        <v>0.95</v>
      </c>
      <c r="C284" s="26">
        <v>0.95</v>
      </c>
      <c r="D284" s="24">
        <v>1</v>
      </c>
      <c r="E284" s="24">
        <v>0.8</v>
      </c>
    </row>
    <row r="285" spans="1:5" x14ac:dyDescent="0.25">
      <c r="A285" s="5">
        <v>53724</v>
      </c>
      <c r="B285" s="26">
        <v>0.95</v>
      </c>
      <c r="C285" s="26">
        <v>0.95</v>
      </c>
      <c r="D285" s="24">
        <v>1</v>
      </c>
      <c r="E285" s="24">
        <v>0.8</v>
      </c>
    </row>
    <row r="286" spans="1:5" x14ac:dyDescent="0.25">
      <c r="A286" s="5">
        <v>53752</v>
      </c>
      <c r="B286" s="26">
        <v>0.95</v>
      </c>
      <c r="C286" s="26">
        <v>0.95</v>
      </c>
      <c r="D286" s="24">
        <v>1</v>
      </c>
      <c r="E286" s="24">
        <v>0.8</v>
      </c>
    </row>
    <row r="287" spans="1:5" x14ac:dyDescent="0.25">
      <c r="A287" s="5">
        <v>53783</v>
      </c>
      <c r="B287" s="26">
        <v>0.95</v>
      </c>
      <c r="C287" s="26">
        <v>0.95</v>
      </c>
      <c r="D287" s="24">
        <v>1</v>
      </c>
      <c r="E287" s="24">
        <v>0.8</v>
      </c>
    </row>
    <row r="288" spans="1:5" x14ac:dyDescent="0.25">
      <c r="A288" s="5">
        <v>53813</v>
      </c>
      <c r="B288" s="26">
        <v>0.95</v>
      </c>
      <c r="C288" s="26">
        <v>0.95</v>
      </c>
      <c r="D288" s="24">
        <v>1</v>
      </c>
      <c r="E288" s="24">
        <v>0.8</v>
      </c>
    </row>
    <row r="289" spans="1:5" x14ac:dyDescent="0.25">
      <c r="A289" s="5">
        <v>53846</v>
      </c>
      <c r="B289" s="26">
        <v>0.95</v>
      </c>
      <c r="C289" s="26">
        <v>0.95</v>
      </c>
      <c r="D289" s="24">
        <v>1</v>
      </c>
      <c r="E289" s="24">
        <v>0.8</v>
      </c>
    </row>
    <row r="290" spans="1:5" x14ac:dyDescent="0.25">
      <c r="A290" s="5">
        <v>53874</v>
      </c>
      <c r="B290" s="26">
        <v>0.95</v>
      </c>
      <c r="C290" s="26">
        <v>0.95</v>
      </c>
      <c r="D290" s="24">
        <v>1</v>
      </c>
      <c r="E290" s="24">
        <v>0.8</v>
      </c>
    </row>
    <row r="291" spans="1:5" x14ac:dyDescent="0.25">
      <c r="A291" s="5">
        <v>53905</v>
      </c>
      <c r="B291" s="26">
        <v>0.95</v>
      </c>
      <c r="C291" s="26">
        <v>0.95</v>
      </c>
      <c r="D291" s="24">
        <v>1</v>
      </c>
      <c r="E291" s="24">
        <v>0.8</v>
      </c>
    </row>
    <row r="292" spans="1:5" x14ac:dyDescent="0.25">
      <c r="A292" s="5">
        <v>53938</v>
      </c>
      <c r="B292" s="26">
        <v>0.95</v>
      </c>
      <c r="C292" s="26">
        <v>0.95</v>
      </c>
      <c r="D292" s="24">
        <v>1</v>
      </c>
      <c r="E292" s="24">
        <v>0.8</v>
      </c>
    </row>
    <row r="293" spans="1:5" x14ac:dyDescent="0.25">
      <c r="A293" s="5">
        <v>53966</v>
      </c>
      <c r="B293" s="26">
        <v>0.95</v>
      </c>
      <c r="C293" s="26">
        <v>0.95</v>
      </c>
      <c r="D293" s="24">
        <v>1</v>
      </c>
      <c r="E293" s="24">
        <v>0.8</v>
      </c>
    </row>
    <row r="294" spans="1:5" x14ac:dyDescent="0.25">
      <c r="A294" s="5">
        <v>53997</v>
      </c>
      <c r="B294" s="26">
        <v>0.95</v>
      </c>
      <c r="C294" s="26">
        <v>0.95</v>
      </c>
      <c r="D294" s="24">
        <v>1</v>
      </c>
      <c r="E294" s="24">
        <v>0.8</v>
      </c>
    </row>
    <row r="295" spans="1:5" x14ac:dyDescent="0.25">
      <c r="A295" s="5">
        <v>54028</v>
      </c>
      <c r="B295" s="26">
        <v>0.95</v>
      </c>
      <c r="C295" s="26">
        <v>0.95</v>
      </c>
      <c r="D295" s="24">
        <v>1</v>
      </c>
      <c r="E295" s="24">
        <v>0.8</v>
      </c>
    </row>
    <row r="296" spans="1:5" x14ac:dyDescent="0.25">
      <c r="A296" s="5">
        <v>54059</v>
      </c>
      <c r="B296" s="26">
        <v>0.95</v>
      </c>
      <c r="C296" s="26">
        <v>0.95</v>
      </c>
      <c r="D296" s="24">
        <v>1</v>
      </c>
      <c r="E296" s="24">
        <v>0.8</v>
      </c>
    </row>
    <row r="297" spans="1:5" x14ac:dyDescent="0.25">
      <c r="A297" s="5">
        <v>54091</v>
      </c>
      <c r="B297" s="26">
        <v>0.95</v>
      </c>
      <c r="C297" s="26">
        <v>0.95</v>
      </c>
      <c r="D297" s="24">
        <v>1</v>
      </c>
      <c r="E297" s="24">
        <v>0.8</v>
      </c>
    </row>
    <row r="298" spans="1:5" x14ac:dyDescent="0.25">
      <c r="A298" s="5">
        <v>54119</v>
      </c>
      <c r="B298" s="26">
        <v>0.95</v>
      </c>
      <c r="C298" s="26">
        <v>0.95</v>
      </c>
      <c r="D298" s="24">
        <v>1</v>
      </c>
      <c r="E298" s="24">
        <v>0.8</v>
      </c>
    </row>
    <row r="299" spans="1:5" x14ac:dyDescent="0.25">
      <c r="A299" s="5">
        <v>54149</v>
      </c>
      <c r="B299" s="26">
        <v>0.95</v>
      </c>
      <c r="C299" s="26">
        <v>0.95</v>
      </c>
      <c r="D299" s="24">
        <v>1</v>
      </c>
      <c r="E299" s="24">
        <v>0.8</v>
      </c>
    </row>
    <row r="300" spans="1:5" x14ac:dyDescent="0.25">
      <c r="A300" s="5">
        <v>54179</v>
      </c>
      <c r="B300" s="26">
        <v>0.95</v>
      </c>
      <c r="C300" s="26">
        <v>0.95</v>
      </c>
      <c r="D300" s="24">
        <v>1</v>
      </c>
      <c r="E300" s="24">
        <v>0.8</v>
      </c>
    </row>
    <row r="301" spans="1:5" x14ac:dyDescent="0.25">
      <c r="A301" s="5">
        <v>54210</v>
      </c>
      <c r="B301" s="26">
        <v>0.95</v>
      </c>
      <c r="C301" s="26">
        <v>0.95</v>
      </c>
      <c r="D301" s="24">
        <v>1</v>
      </c>
      <c r="E301" s="24">
        <v>0.8</v>
      </c>
    </row>
    <row r="302" spans="1:5" x14ac:dyDescent="0.25">
      <c r="A302" s="5">
        <v>54240</v>
      </c>
      <c r="B302" s="26">
        <v>0.95</v>
      </c>
      <c r="C302" s="26">
        <v>0.95</v>
      </c>
      <c r="D302" s="24">
        <v>1</v>
      </c>
      <c r="E302" s="24">
        <v>0.8</v>
      </c>
    </row>
    <row r="303" spans="1:5" x14ac:dyDescent="0.25">
      <c r="A303" s="5">
        <v>54273</v>
      </c>
      <c r="B303" s="26">
        <v>0.95</v>
      </c>
      <c r="C303" s="26">
        <v>0.95</v>
      </c>
      <c r="D303" s="24">
        <v>1</v>
      </c>
      <c r="E303" s="24">
        <v>0.8</v>
      </c>
    </row>
    <row r="304" spans="1:5" x14ac:dyDescent="0.25">
      <c r="A304" s="5">
        <v>54302</v>
      </c>
      <c r="B304" s="26">
        <v>0.95</v>
      </c>
      <c r="C304" s="26">
        <v>0.95</v>
      </c>
      <c r="D304" s="24">
        <v>1</v>
      </c>
      <c r="E304" s="24">
        <v>0.8</v>
      </c>
    </row>
    <row r="305" spans="1:5" x14ac:dyDescent="0.25">
      <c r="A305" s="5">
        <v>54332</v>
      </c>
      <c r="B305" s="26">
        <v>0.95</v>
      </c>
      <c r="C305" s="26">
        <v>0.95</v>
      </c>
      <c r="D305" s="24">
        <v>1</v>
      </c>
      <c r="E305" s="24">
        <v>0.8</v>
      </c>
    </row>
    <row r="306" spans="1:5" x14ac:dyDescent="0.25">
      <c r="A306" s="5">
        <v>54364</v>
      </c>
      <c r="B306" s="26">
        <v>0.95</v>
      </c>
      <c r="C306" s="26">
        <v>0.95</v>
      </c>
      <c r="D306" s="24">
        <v>1</v>
      </c>
      <c r="E306" s="24">
        <v>0.8</v>
      </c>
    </row>
    <row r="307" spans="1:5" x14ac:dyDescent="0.25">
      <c r="A307" s="5">
        <v>54393</v>
      </c>
      <c r="B307" s="26">
        <v>0.95</v>
      </c>
      <c r="C307" s="26">
        <v>0.95</v>
      </c>
      <c r="D307" s="24">
        <v>1</v>
      </c>
      <c r="E307" s="24">
        <v>0.8</v>
      </c>
    </row>
    <row r="308" spans="1:5" x14ac:dyDescent="0.25">
      <c r="A308" s="5">
        <v>54427</v>
      </c>
      <c r="B308" s="26">
        <v>0.95</v>
      </c>
      <c r="C308" s="26">
        <v>0.95</v>
      </c>
      <c r="D308" s="24">
        <v>1</v>
      </c>
      <c r="E308" s="24">
        <v>0.8</v>
      </c>
    </row>
    <row r="309" spans="1:5" x14ac:dyDescent="0.25">
      <c r="A309" s="5">
        <v>54455</v>
      </c>
      <c r="B309" s="26">
        <v>0.95</v>
      </c>
      <c r="C309" s="26">
        <v>0.95</v>
      </c>
      <c r="D309" s="24">
        <v>1</v>
      </c>
      <c r="E309" s="24">
        <v>0.8</v>
      </c>
    </row>
    <row r="310" spans="1:5" x14ac:dyDescent="0.25">
      <c r="A310" s="5">
        <v>54483</v>
      </c>
      <c r="B310" s="26">
        <v>0.95</v>
      </c>
      <c r="C310" s="26">
        <v>0.95</v>
      </c>
      <c r="D310" s="24">
        <v>1</v>
      </c>
      <c r="E310" s="24">
        <v>0.8</v>
      </c>
    </row>
    <row r="311" spans="1:5" x14ac:dyDescent="0.25">
      <c r="A311" s="5">
        <v>54514</v>
      </c>
      <c r="B311" s="26">
        <v>0.95</v>
      </c>
      <c r="C311" s="26">
        <v>0.95</v>
      </c>
      <c r="D311" s="24">
        <v>1</v>
      </c>
      <c r="E311" s="24">
        <v>0.8</v>
      </c>
    </row>
    <row r="312" spans="1:5" x14ac:dyDescent="0.25">
      <c r="A312" s="5">
        <v>54546</v>
      </c>
      <c r="B312" s="26">
        <v>0.95</v>
      </c>
      <c r="C312" s="26">
        <v>0.95</v>
      </c>
      <c r="D312" s="24">
        <v>1</v>
      </c>
      <c r="E312" s="24">
        <v>0.8</v>
      </c>
    </row>
    <row r="313" spans="1:5" x14ac:dyDescent="0.25">
      <c r="A313" s="5">
        <v>54575</v>
      </c>
      <c r="B313" s="26">
        <v>0.95</v>
      </c>
      <c r="C313" s="26">
        <v>0.95</v>
      </c>
      <c r="D313" s="24">
        <v>1</v>
      </c>
      <c r="E313" s="24">
        <v>0.8</v>
      </c>
    </row>
    <row r="314" spans="1:5" x14ac:dyDescent="0.25">
      <c r="A314" s="5">
        <v>54605</v>
      </c>
      <c r="B314" s="26">
        <v>0.95</v>
      </c>
      <c r="C314" s="26">
        <v>0.95</v>
      </c>
      <c r="D314" s="24">
        <v>1</v>
      </c>
      <c r="E314" s="24">
        <v>0.8</v>
      </c>
    </row>
    <row r="315" spans="1:5" x14ac:dyDescent="0.25">
      <c r="A315" s="5">
        <v>54637</v>
      </c>
      <c r="B315" s="26">
        <v>0.95</v>
      </c>
      <c r="C315" s="26">
        <v>0.95</v>
      </c>
      <c r="D315" s="24">
        <v>1</v>
      </c>
      <c r="E315" s="24">
        <v>0.8</v>
      </c>
    </row>
    <row r="316" spans="1:5" x14ac:dyDescent="0.25">
      <c r="A316" s="5">
        <v>54667</v>
      </c>
      <c r="B316" s="26">
        <v>0.95</v>
      </c>
      <c r="C316" s="26">
        <v>0.95</v>
      </c>
      <c r="D316" s="24">
        <v>1</v>
      </c>
      <c r="E316" s="24">
        <v>0.8</v>
      </c>
    </row>
    <row r="317" spans="1:5" x14ac:dyDescent="0.25">
      <c r="A317" s="5">
        <v>54697</v>
      </c>
      <c r="B317" s="26">
        <v>0.95</v>
      </c>
      <c r="C317" s="26">
        <v>0.95</v>
      </c>
      <c r="D317" s="24">
        <v>1</v>
      </c>
      <c r="E317" s="24">
        <v>0.8</v>
      </c>
    </row>
    <row r="318" spans="1:5" x14ac:dyDescent="0.25">
      <c r="A318" s="5">
        <v>54728</v>
      </c>
      <c r="B318" s="26">
        <v>0.95</v>
      </c>
      <c r="C318" s="26">
        <v>0.95</v>
      </c>
      <c r="D318" s="24">
        <v>1</v>
      </c>
      <c r="E318" s="24">
        <v>0.8</v>
      </c>
    </row>
    <row r="319" spans="1:5" x14ac:dyDescent="0.25">
      <c r="A319" s="5">
        <v>54758</v>
      </c>
      <c r="B319" s="26">
        <v>0.95</v>
      </c>
      <c r="C319" s="26">
        <v>0.95</v>
      </c>
      <c r="D319" s="24">
        <v>1</v>
      </c>
      <c r="E319" s="24">
        <v>0.8</v>
      </c>
    </row>
    <row r="320" spans="1:5" x14ac:dyDescent="0.25">
      <c r="A320" s="5">
        <v>54791</v>
      </c>
      <c r="B320" s="26">
        <v>0.95</v>
      </c>
      <c r="C320" s="26">
        <v>0.95</v>
      </c>
      <c r="D320" s="24">
        <v>1</v>
      </c>
      <c r="E320" s="24">
        <v>0.8</v>
      </c>
    </row>
    <row r="321" spans="1:5" x14ac:dyDescent="0.25">
      <c r="A321" s="5">
        <v>54820</v>
      </c>
      <c r="B321" s="26">
        <v>0.95</v>
      </c>
      <c r="C321" s="26">
        <v>0.95</v>
      </c>
      <c r="D321" s="24">
        <v>1</v>
      </c>
      <c r="E321" s="24">
        <v>0.8</v>
      </c>
    </row>
    <row r="322" spans="1:5" x14ac:dyDescent="0.25">
      <c r="A322" s="5">
        <v>54848</v>
      </c>
      <c r="B322" s="26">
        <v>0.95</v>
      </c>
      <c r="C322" s="26">
        <v>0.95</v>
      </c>
      <c r="D322" s="24">
        <v>1</v>
      </c>
      <c r="E322" s="24">
        <v>0.8</v>
      </c>
    </row>
    <row r="323" spans="1:5" x14ac:dyDescent="0.25">
      <c r="A323" s="5">
        <v>54879</v>
      </c>
      <c r="B323" s="26">
        <v>0.95</v>
      </c>
      <c r="C323" s="26">
        <v>0.95</v>
      </c>
      <c r="D323" s="24">
        <v>1</v>
      </c>
      <c r="E323" s="24">
        <v>0.8</v>
      </c>
    </row>
    <row r="324" spans="1:5" x14ac:dyDescent="0.25">
      <c r="A324" s="5">
        <v>54910</v>
      </c>
      <c r="B324" s="26">
        <v>0.95</v>
      </c>
      <c r="C324" s="26">
        <v>0.95</v>
      </c>
      <c r="D324" s="24">
        <v>1</v>
      </c>
      <c r="E324" s="24">
        <v>0.8</v>
      </c>
    </row>
    <row r="325" spans="1:5" x14ac:dyDescent="0.25">
      <c r="A325" s="5">
        <v>54940</v>
      </c>
      <c r="B325" s="26">
        <v>0.95</v>
      </c>
      <c r="C325" s="26">
        <v>0.95</v>
      </c>
      <c r="D325" s="24">
        <v>1</v>
      </c>
      <c r="E325" s="24">
        <v>0.8</v>
      </c>
    </row>
    <row r="326" spans="1:5" x14ac:dyDescent="0.25">
      <c r="A326" s="5">
        <v>54970</v>
      </c>
      <c r="B326" s="26">
        <v>0.95</v>
      </c>
      <c r="C326" s="26">
        <v>0.95</v>
      </c>
      <c r="D326" s="24">
        <v>1</v>
      </c>
      <c r="E326" s="24">
        <v>0.8</v>
      </c>
    </row>
    <row r="327" spans="1:5" x14ac:dyDescent="0.25">
      <c r="A327" s="5">
        <v>55001</v>
      </c>
      <c r="B327" s="26">
        <v>0.95</v>
      </c>
      <c r="C327" s="26">
        <v>0.95</v>
      </c>
      <c r="D327" s="24">
        <v>1</v>
      </c>
      <c r="E327" s="24">
        <v>0.8</v>
      </c>
    </row>
    <row r="328" spans="1:5" x14ac:dyDescent="0.25">
      <c r="A328" s="5">
        <v>55032</v>
      </c>
      <c r="B328" s="26">
        <v>0.95</v>
      </c>
      <c r="C328" s="26">
        <v>0.95</v>
      </c>
      <c r="D328" s="24">
        <v>1</v>
      </c>
      <c r="E328" s="24">
        <v>0.8</v>
      </c>
    </row>
    <row r="329" spans="1:5" x14ac:dyDescent="0.25">
      <c r="A329" s="5">
        <v>55064</v>
      </c>
      <c r="B329" s="26">
        <v>0.95</v>
      </c>
      <c r="C329" s="26">
        <v>0.95</v>
      </c>
      <c r="D329" s="24">
        <v>1</v>
      </c>
      <c r="E329" s="24">
        <v>0.8</v>
      </c>
    </row>
    <row r="330" spans="1:5" x14ac:dyDescent="0.25">
      <c r="A330" s="5">
        <v>55093</v>
      </c>
      <c r="B330" s="26">
        <v>0.95</v>
      </c>
      <c r="C330" s="26">
        <v>0.95</v>
      </c>
      <c r="D330" s="24">
        <v>1</v>
      </c>
      <c r="E330" s="24">
        <v>0.8</v>
      </c>
    </row>
    <row r="331" spans="1:5" x14ac:dyDescent="0.25">
      <c r="A331" s="5">
        <v>55123</v>
      </c>
      <c r="B331" s="26">
        <v>0.95</v>
      </c>
      <c r="C331" s="26">
        <v>0.95</v>
      </c>
      <c r="D331" s="24">
        <v>1</v>
      </c>
      <c r="E331" s="24">
        <v>0.8</v>
      </c>
    </row>
    <row r="332" spans="1:5" x14ac:dyDescent="0.25">
      <c r="A332" s="5">
        <v>55156</v>
      </c>
      <c r="B332" s="26">
        <v>0.95</v>
      </c>
      <c r="C332" s="26">
        <v>0.95</v>
      </c>
      <c r="D332" s="24">
        <v>1</v>
      </c>
      <c r="E332" s="24">
        <v>0.8</v>
      </c>
    </row>
    <row r="333" spans="1:5" x14ac:dyDescent="0.25">
      <c r="A333" s="5">
        <v>55185</v>
      </c>
      <c r="B333" s="26">
        <v>0.95</v>
      </c>
      <c r="C333" s="26">
        <v>0.95</v>
      </c>
      <c r="D333" s="24">
        <v>1</v>
      </c>
      <c r="E333" s="24">
        <v>0.8</v>
      </c>
    </row>
    <row r="334" spans="1:5" x14ac:dyDescent="0.25">
      <c r="A334" s="5">
        <v>55213</v>
      </c>
      <c r="B334" s="26">
        <v>0.95</v>
      </c>
      <c r="C334" s="26">
        <v>0.95</v>
      </c>
      <c r="D334" s="24">
        <v>1</v>
      </c>
      <c r="E334" s="24">
        <v>0.8</v>
      </c>
    </row>
    <row r="335" spans="1:5" x14ac:dyDescent="0.25">
      <c r="A335" s="5">
        <v>55246</v>
      </c>
      <c r="B335" s="26">
        <v>0.95</v>
      </c>
      <c r="C335" s="26">
        <v>0.95</v>
      </c>
      <c r="D335" s="24">
        <v>1</v>
      </c>
      <c r="E335" s="24">
        <v>0.8</v>
      </c>
    </row>
    <row r="336" spans="1:5" x14ac:dyDescent="0.25">
      <c r="A336" s="5">
        <v>55274</v>
      </c>
      <c r="B336" s="26">
        <v>0.95</v>
      </c>
      <c r="C336" s="26">
        <v>0.95</v>
      </c>
      <c r="D336" s="24">
        <v>1</v>
      </c>
      <c r="E336" s="24">
        <v>0.8</v>
      </c>
    </row>
    <row r="337" spans="1:5" x14ac:dyDescent="0.25">
      <c r="A337" s="5">
        <v>55305</v>
      </c>
      <c r="B337" s="26">
        <v>0.95</v>
      </c>
      <c r="C337" s="26">
        <v>0.95</v>
      </c>
      <c r="D337" s="24">
        <v>1</v>
      </c>
      <c r="E337" s="24">
        <v>0.8</v>
      </c>
    </row>
    <row r="338" spans="1:5" x14ac:dyDescent="0.25">
      <c r="A338" s="5">
        <v>55337</v>
      </c>
      <c r="B338" s="26">
        <v>0.95</v>
      </c>
      <c r="C338" s="26">
        <v>0.95</v>
      </c>
      <c r="D338" s="24">
        <v>1</v>
      </c>
      <c r="E338" s="24">
        <v>0.8</v>
      </c>
    </row>
    <row r="339" spans="1:5" x14ac:dyDescent="0.25">
      <c r="A339" s="5">
        <v>55366</v>
      </c>
      <c r="B339" s="26">
        <v>0.95</v>
      </c>
      <c r="C339" s="26">
        <v>0.95</v>
      </c>
      <c r="D339" s="24">
        <v>1</v>
      </c>
      <c r="E339" s="24">
        <v>0.8</v>
      </c>
    </row>
    <row r="340" spans="1:5" x14ac:dyDescent="0.25">
      <c r="A340" s="5">
        <v>55397</v>
      </c>
      <c r="B340" s="26">
        <v>0.95</v>
      </c>
      <c r="C340" s="26">
        <v>0.95</v>
      </c>
      <c r="D340" s="24">
        <v>1</v>
      </c>
      <c r="E340" s="24">
        <v>0.8</v>
      </c>
    </row>
    <row r="341" spans="1:5" x14ac:dyDescent="0.25">
      <c r="A341" s="5">
        <v>55428</v>
      </c>
      <c r="B341" s="26">
        <v>0.95</v>
      </c>
      <c r="C341" s="26">
        <v>0.95</v>
      </c>
      <c r="D341" s="24">
        <v>1</v>
      </c>
      <c r="E341" s="24">
        <v>0.8</v>
      </c>
    </row>
    <row r="342" spans="1:5" x14ac:dyDescent="0.25">
      <c r="A342" s="5">
        <v>55458</v>
      </c>
      <c r="B342" s="26">
        <v>0.95</v>
      </c>
      <c r="C342" s="26">
        <v>0.95</v>
      </c>
      <c r="D342" s="24">
        <v>1</v>
      </c>
      <c r="E342" s="24">
        <v>0.8</v>
      </c>
    </row>
    <row r="343" spans="1:5" x14ac:dyDescent="0.25">
      <c r="A343" s="5">
        <v>55488</v>
      </c>
      <c r="B343" s="26">
        <v>0.95</v>
      </c>
      <c r="C343" s="26">
        <v>0.95</v>
      </c>
      <c r="D343" s="24">
        <v>1</v>
      </c>
      <c r="E343" s="24">
        <v>0.8</v>
      </c>
    </row>
    <row r="344" spans="1:5" x14ac:dyDescent="0.25">
      <c r="A344" s="5">
        <v>55520</v>
      </c>
      <c r="B344" s="26">
        <v>0.95</v>
      </c>
      <c r="C344" s="26">
        <v>0.95</v>
      </c>
      <c r="D344" s="24">
        <v>1</v>
      </c>
      <c r="E344" s="24">
        <v>0.8</v>
      </c>
    </row>
    <row r="345" spans="1:5" x14ac:dyDescent="0.25">
      <c r="A345" s="5">
        <v>55550</v>
      </c>
      <c r="B345" s="26">
        <v>0.95</v>
      </c>
      <c r="C345" s="26">
        <v>0.95</v>
      </c>
      <c r="D345" s="24">
        <v>1</v>
      </c>
      <c r="E345" s="24">
        <v>0.8</v>
      </c>
    </row>
    <row r="346" spans="1:5" x14ac:dyDescent="0.25">
      <c r="A346" s="5">
        <v>55579</v>
      </c>
      <c r="B346" s="26">
        <v>0.95</v>
      </c>
      <c r="C346" s="26">
        <v>0.95</v>
      </c>
      <c r="D346" s="24">
        <v>1</v>
      </c>
      <c r="E346" s="24">
        <v>0.8</v>
      </c>
    </row>
    <row r="347" spans="1:5" x14ac:dyDescent="0.25">
      <c r="A347" s="5">
        <v>55610</v>
      </c>
      <c r="B347" s="26">
        <v>0.95</v>
      </c>
      <c r="C347" s="26">
        <v>0.95</v>
      </c>
      <c r="D347" s="24">
        <v>1</v>
      </c>
      <c r="E347" s="24">
        <v>0.8</v>
      </c>
    </row>
    <row r="348" spans="1:5" x14ac:dyDescent="0.25">
      <c r="A348" s="5">
        <v>55640</v>
      </c>
      <c r="B348" s="26">
        <v>0.95</v>
      </c>
      <c r="C348" s="26">
        <v>0.95</v>
      </c>
      <c r="D348" s="24">
        <v>1</v>
      </c>
      <c r="E348" s="24">
        <v>0.8</v>
      </c>
    </row>
    <row r="349" spans="1:5" x14ac:dyDescent="0.25">
      <c r="A349" s="5">
        <v>55673</v>
      </c>
      <c r="B349" s="26">
        <v>0.95</v>
      </c>
      <c r="C349" s="26">
        <v>0.95</v>
      </c>
      <c r="D349" s="24">
        <v>1</v>
      </c>
      <c r="E349" s="24">
        <v>0.8</v>
      </c>
    </row>
    <row r="350" spans="1:5" x14ac:dyDescent="0.25">
      <c r="A350" s="5">
        <v>55701</v>
      </c>
      <c r="B350" s="26">
        <v>0.95</v>
      </c>
      <c r="C350" s="26">
        <v>0.95</v>
      </c>
      <c r="D350" s="24">
        <v>1</v>
      </c>
      <c r="E350" s="24">
        <v>0.8</v>
      </c>
    </row>
    <row r="351" spans="1:5" x14ac:dyDescent="0.25">
      <c r="A351" s="5">
        <v>55732</v>
      </c>
      <c r="B351" s="26">
        <v>0.95</v>
      </c>
      <c r="C351" s="26">
        <v>0.95</v>
      </c>
      <c r="D351" s="24">
        <v>1</v>
      </c>
      <c r="E351" s="24">
        <v>0.8</v>
      </c>
    </row>
    <row r="352" spans="1:5" x14ac:dyDescent="0.25">
      <c r="A352" s="5">
        <v>55765</v>
      </c>
      <c r="B352" s="26">
        <v>0.95</v>
      </c>
      <c r="C352" s="26">
        <v>0.95</v>
      </c>
      <c r="D352" s="24">
        <v>1</v>
      </c>
      <c r="E352" s="24">
        <v>0.8</v>
      </c>
    </row>
    <row r="353" spans="1:5" x14ac:dyDescent="0.25">
      <c r="A353" s="5">
        <v>55793</v>
      </c>
      <c r="B353" s="26">
        <v>0.95</v>
      </c>
      <c r="C353" s="26">
        <v>0.95</v>
      </c>
      <c r="D353" s="24">
        <v>1</v>
      </c>
      <c r="E353" s="24">
        <v>0.8</v>
      </c>
    </row>
    <row r="354" spans="1:5" x14ac:dyDescent="0.25">
      <c r="A354" s="5">
        <v>55824</v>
      </c>
      <c r="B354" s="26">
        <v>0.95</v>
      </c>
      <c r="C354" s="26">
        <v>0.95</v>
      </c>
      <c r="D354" s="24">
        <v>1</v>
      </c>
      <c r="E354" s="24">
        <v>0.8</v>
      </c>
    </row>
    <row r="355" spans="1:5" x14ac:dyDescent="0.25">
      <c r="A355" s="5">
        <v>55855</v>
      </c>
      <c r="B355" s="26">
        <v>0.95</v>
      </c>
      <c r="C355" s="26">
        <v>0.95</v>
      </c>
      <c r="D355" s="24">
        <v>1</v>
      </c>
      <c r="E355" s="24">
        <v>0.8</v>
      </c>
    </row>
    <row r="356" spans="1:5" x14ac:dyDescent="0.25">
      <c r="A356" s="5">
        <v>55886</v>
      </c>
      <c r="B356" s="26">
        <v>0.95</v>
      </c>
      <c r="C356" s="26">
        <v>0.95</v>
      </c>
      <c r="D356" s="24">
        <v>1</v>
      </c>
      <c r="E356" s="24">
        <v>0.8</v>
      </c>
    </row>
    <row r="357" spans="1:5" x14ac:dyDescent="0.25">
      <c r="A357" s="5">
        <v>55918</v>
      </c>
      <c r="B357" s="26">
        <v>0.95</v>
      </c>
      <c r="C357" s="26">
        <v>0.95</v>
      </c>
      <c r="D357" s="24">
        <v>1</v>
      </c>
      <c r="E357" s="24">
        <v>0.8</v>
      </c>
    </row>
    <row r="358" spans="1:5" x14ac:dyDescent="0.25">
      <c r="A358" s="5">
        <v>55946</v>
      </c>
      <c r="B358" s="26">
        <v>0.95</v>
      </c>
      <c r="C358" s="26">
        <v>0.95</v>
      </c>
      <c r="D358" s="24">
        <v>1</v>
      </c>
      <c r="E358" s="24">
        <v>0.8</v>
      </c>
    </row>
    <row r="359" spans="1:5" x14ac:dyDescent="0.25">
      <c r="A359" s="5">
        <v>55975</v>
      </c>
      <c r="B359" s="26">
        <v>0.95</v>
      </c>
      <c r="C359" s="26">
        <v>0.95</v>
      </c>
      <c r="D359" s="24">
        <v>1</v>
      </c>
      <c r="E359" s="24">
        <v>0.8</v>
      </c>
    </row>
    <row r="360" spans="1:5" x14ac:dyDescent="0.25">
      <c r="A360" s="5">
        <v>56005</v>
      </c>
      <c r="B360" s="26">
        <v>0.95</v>
      </c>
      <c r="C360" s="26">
        <v>0.95</v>
      </c>
      <c r="D360" s="24">
        <v>1</v>
      </c>
      <c r="E360" s="24">
        <v>0.8</v>
      </c>
    </row>
    <row r="361" spans="1:5" x14ac:dyDescent="0.25">
      <c r="A361" s="5">
        <v>56037</v>
      </c>
      <c r="B361" s="26">
        <v>0.95</v>
      </c>
      <c r="C361" s="26">
        <v>0.95</v>
      </c>
      <c r="D361" s="24">
        <v>1</v>
      </c>
      <c r="E361" s="24">
        <v>0.8</v>
      </c>
    </row>
    <row r="362" spans="1:5" x14ac:dyDescent="0.25">
      <c r="A362" s="5">
        <v>56066</v>
      </c>
      <c r="B362" s="26">
        <v>0.95</v>
      </c>
      <c r="C362" s="26">
        <v>0.95</v>
      </c>
      <c r="D362" s="24">
        <v>1</v>
      </c>
      <c r="E362" s="24">
        <v>0.8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94637-1EEE-4AB1-9D69-9039B44F68A0}">
  <sheetPr codeName="Sheet4"/>
  <dimension ref="A1:K362"/>
  <sheetViews>
    <sheetView showGridLines="0" workbookViewId="0"/>
  </sheetViews>
  <sheetFormatPr defaultRowHeight="15" x14ac:dyDescent="0.25"/>
  <cols>
    <col min="2" max="2" width="14.42578125" bestFit="1" customWidth="1"/>
    <col min="3" max="3" width="10.28515625" customWidth="1"/>
    <col min="4" max="4" width="10.85546875" bestFit="1" customWidth="1"/>
    <col min="5" max="5" width="16.7109375" bestFit="1" customWidth="1"/>
    <col min="8" max="8" width="10" bestFit="1" customWidth="1"/>
    <col min="10" max="10" width="9.140625" style="7"/>
  </cols>
  <sheetData>
    <row r="1" spans="1:11" x14ac:dyDescent="0.25">
      <c r="A1" s="22" t="s">
        <v>65</v>
      </c>
      <c r="B1" s="22" t="s">
        <v>58</v>
      </c>
      <c r="C1" s="22" t="s">
        <v>57</v>
      </c>
      <c r="D1" s="22" t="s">
        <v>0</v>
      </c>
      <c r="E1" s="21" t="s">
        <v>56</v>
      </c>
      <c r="G1" s="16" t="s">
        <v>59</v>
      </c>
      <c r="H1" s="8">
        <v>45107</v>
      </c>
      <c r="J1" s="13" t="s">
        <v>48</v>
      </c>
    </row>
    <row r="2" spans="1:11" x14ac:dyDescent="0.25">
      <c r="A2" s="9">
        <v>0</v>
      </c>
      <c r="B2" s="10">
        <f t="shared" ref="B2:B65" si="0">EOMONTH(StartDt, A2)</f>
        <v>45107</v>
      </c>
      <c r="C2" s="10">
        <f>B2+1</f>
        <v>45108</v>
      </c>
      <c r="D2" s="10" cm="1">
        <f t="array" aca="1" ref="D2" ca="1">_xll.nxLibAddTenor(B2,"1BD","F","NewYork")</f>
        <v>45110</v>
      </c>
      <c r="E2" s="5">
        <v>45110</v>
      </c>
      <c r="F2" t="str">
        <f ca="1">IF(D2=E2,"Good","Check")</f>
        <v>Good</v>
      </c>
      <c r="J2" s="7" t="s">
        <v>34</v>
      </c>
      <c r="K2" s="12" t="s">
        <v>52</v>
      </c>
    </row>
    <row r="3" spans="1:11" x14ac:dyDescent="0.25">
      <c r="A3" s="9">
        <f>1+A2</f>
        <v>1</v>
      </c>
      <c r="B3" s="10">
        <f t="shared" si="0"/>
        <v>45138</v>
      </c>
      <c r="C3" s="10">
        <f>B3+1</f>
        <v>45139</v>
      </c>
      <c r="D3" s="10" cm="1">
        <f t="array" aca="1" ref="D3" ca="1">_xll.nxLibAddTenor(B3,"1BD","F","NewYork")</f>
        <v>45139</v>
      </c>
      <c r="E3" s="5">
        <v>45139</v>
      </c>
      <c r="F3" t="str">
        <f t="shared" ref="F3:F20" ca="1" si="1">IF(D3=E3,"Good","Check")</f>
        <v>Good</v>
      </c>
      <c r="J3" s="7" t="s">
        <v>39</v>
      </c>
      <c r="K3" s="12" t="s">
        <v>53</v>
      </c>
    </row>
    <row r="4" spans="1:11" x14ac:dyDescent="0.25">
      <c r="A4" s="9">
        <f t="shared" ref="A4:A67" si="2">1+A3</f>
        <v>2</v>
      </c>
      <c r="B4" s="10">
        <f t="shared" si="0"/>
        <v>45169</v>
      </c>
      <c r="C4" s="10">
        <f t="shared" ref="C4:C67" si="3">B4+1</f>
        <v>45170</v>
      </c>
      <c r="D4" s="10" cm="1">
        <f t="array" aca="1" ref="D4" ca="1">_xll.nxLibAddTenor(B4,"1BD","F","NewYork")</f>
        <v>45170</v>
      </c>
      <c r="E4" s="5">
        <v>45170</v>
      </c>
      <c r="F4" t="str">
        <f t="shared" ca="1" si="1"/>
        <v>Good</v>
      </c>
      <c r="J4" s="7" t="s">
        <v>40</v>
      </c>
      <c r="K4" s="12" t="s">
        <v>54</v>
      </c>
    </row>
    <row r="5" spans="1:11" x14ac:dyDescent="0.25">
      <c r="A5" s="9">
        <f t="shared" si="2"/>
        <v>3</v>
      </c>
      <c r="B5" s="10">
        <f t="shared" si="0"/>
        <v>45199</v>
      </c>
      <c r="C5" s="10">
        <f t="shared" si="3"/>
        <v>45200</v>
      </c>
      <c r="D5" s="10" cm="1">
        <f t="array" aca="1" ref="D5" ca="1">_xll.nxLibAddTenor(B5,"1BD","F","NewYork")</f>
        <v>45201</v>
      </c>
      <c r="E5" s="5">
        <v>45201</v>
      </c>
      <c r="F5" t="str">
        <f t="shared" ca="1" si="1"/>
        <v>Good</v>
      </c>
      <c r="J5" s="7" t="s">
        <v>43</v>
      </c>
      <c r="K5" s="14" t="s">
        <v>55</v>
      </c>
    </row>
    <row r="6" spans="1:11" x14ac:dyDescent="0.25">
      <c r="A6" s="9">
        <f t="shared" si="2"/>
        <v>4</v>
      </c>
      <c r="B6" s="10">
        <f t="shared" si="0"/>
        <v>45230</v>
      </c>
      <c r="C6" s="10">
        <f t="shared" si="3"/>
        <v>45231</v>
      </c>
      <c r="D6" s="10" cm="1">
        <f t="array" aca="1" ref="D6" ca="1">_xll.nxLibAddTenor(B6,"1BD","F","NewYork")</f>
        <v>45231</v>
      </c>
      <c r="E6" s="5">
        <v>45231</v>
      </c>
      <c r="F6" t="str">
        <f t="shared" ca="1" si="1"/>
        <v>Good</v>
      </c>
    </row>
    <row r="7" spans="1:11" x14ac:dyDescent="0.25">
      <c r="A7" s="9">
        <f t="shared" si="2"/>
        <v>5</v>
      </c>
      <c r="B7" s="10">
        <f t="shared" si="0"/>
        <v>45260</v>
      </c>
      <c r="C7" s="10">
        <f t="shared" si="3"/>
        <v>45261</v>
      </c>
      <c r="D7" s="10" cm="1">
        <f t="array" aca="1" ref="D7" ca="1">_xll.nxLibAddTenor(B7,"1BD","F","NewYork")</f>
        <v>45261</v>
      </c>
      <c r="E7" s="5">
        <v>45261</v>
      </c>
      <c r="F7" t="str">
        <f t="shared" ca="1" si="1"/>
        <v>Good</v>
      </c>
    </row>
    <row r="8" spans="1:11" x14ac:dyDescent="0.25">
      <c r="A8" s="9">
        <f t="shared" si="2"/>
        <v>6</v>
      </c>
      <c r="B8" s="10">
        <f t="shared" si="0"/>
        <v>45291</v>
      </c>
      <c r="C8" s="10">
        <f t="shared" si="3"/>
        <v>45292</v>
      </c>
      <c r="D8" s="10" cm="1">
        <f t="array" aca="1" ref="D8" ca="1">_xll.nxLibAddTenor(B8,"1BD","F","NewYork")</f>
        <v>45293</v>
      </c>
      <c r="E8" s="23" cm="1">
        <f t="array" aca="1" ref="E8" ca="1">_xll.nxLibAddTenor(C8,"1BD","F","NewYork")</f>
        <v>45293</v>
      </c>
      <c r="F8" t="str">
        <f t="shared" ca="1" si="1"/>
        <v>Good</v>
      </c>
    </row>
    <row r="9" spans="1:11" x14ac:dyDescent="0.25">
      <c r="A9" s="9">
        <f t="shared" si="2"/>
        <v>7</v>
      </c>
      <c r="B9" s="10">
        <f t="shared" si="0"/>
        <v>45322</v>
      </c>
      <c r="C9" s="10">
        <f t="shared" si="3"/>
        <v>45323</v>
      </c>
      <c r="D9" s="10" cm="1">
        <f t="array" aca="1" ref="D9" ca="1">_xll.nxLibAddTenor(B9,"1BD","F","NewYork")</f>
        <v>45323</v>
      </c>
      <c r="E9" s="5">
        <v>45323</v>
      </c>
      <c r="F9" t="str">
        <f t="shared" ca="1" si="1"/>
        <v>Good</v>
      </c>
    </row>
    <row r="10" spans="1:11" x14ac:dyDescent="0.25">
      <c r="A10" s="9">
        <f t="shared" si="2"/>
        <v>8</v>
      </c>
      <c r="B10" s="10">
        <f t="shared" si="0"/>
        <v>45351</v>
      </c>
      <c r="C10" s="10">
        <f t="shared" si="3"/>
        <v>45352</v>
      </c>
      <c r="D10" s="10" cm="1">
        <f t="array" aca="1" ref="D10" ca="1">_xll.nxLibAddTenor(B10,"1BD","F","NewYork")</f>
        <v>45352</v>
      </c>
      <c r="E10" s="5">
        <v>45352</v>
      </c>
      <c r="F10" t="str">
        <f t="shared" ca="1" si="1"/>
        <v>Good</v>
      </c>
    </row>
    <row r="11" spans="1:11" x14ac:dyDescent="0.25">
      <c r="A11" s="9">
        <f t="shared" si="2"/>
        <v>9</v>
      </c>
      <c r="B11" s="10">
        <f t="shared" si="0"/>
        <v>45382</v>
      </c>
      <c r="C11" s="10">
        <f t="shared" si="3"/>
        <v>45383</v>
      </c>
      <c r="D11" s="10" cm="1">
        <f t="array" aca="1" ref="D11" ca="1">_xll.nxLibAddTenor(B11,"1BD","F","NewYork")</f>
        <v>45383</v>
      </c>
      <c r="E11" s="5">
        <v>45383</v>
      </c>
      <c r="F11" t="str">
        <f t="shared" ca="1" si="1"/>
        <v>Good</v>
      </c>
    </row>
    <row r="12" spans="1:11" x14ac:dyDescent="0.25">
      <c r="A12" s="9">
        <f t="shared" si="2"/>
        <v>10</v>
      </c>
      <c r="B12" s="10">
        <f t="shared" si="0"/>
        <v>45412</v>
      </c>
      <c r="C12" s="10">
        <f t="shared" si="3"/>
        <v>45413</v>
      </c>
      <c r="D12" s="10" cm="1">
        <f t="array" aca="1" ref="D12" ca="1">_xll.nxLibAddTenor(B12,"1BD","F","NewYork")</f>
        <v>45413</v>
      </c>
      <c r="E12" s="5">
        <v>45413</v>
      </c>
      <c r="F12" t="str">
        <f t="shared" ca="1" si="1"/>
        <v>Good</v>
      </c>
    </row>
    <row r="13" spans="1:11" x14ac:dyDescent="0.25">
      <c r="A13" s="9">
        <f t="shared" si="2"/>
        <v>11</v>
      </c>
      <c r="B13" s="10">
        <f t="shared" si="0"/>
        <v>45443</v>
      </c>
      <c r="C13" s="10">
        <f t="shared" si="3"/>
        <v>45444</v>
      </c>
      <c r="D13" s="10" cm="1">
        <f t="array" aca="1" ref="D13" ca="1">_xll.nxLibAddTenor(B13,"1BD","F","NewYork")</f>
        <v>45446</v>
      </c>
      <c r="E13" s="5">
        <v>45446</v>
      </c>
      <c r="F13" t="str">
        <f t="shared" ca="1" si="1"/>
        <v>Good</v>
      </c>
    </row>
    <row r="14" spans="1:11" x14ac:dyDescent="0.25">
      <c r="A14" s="9">
        <f t="shared" si="2"/>
        <v>12</v>
      </c>
      <c r="B14" s="10">
        <f t="shared" si="0"/>
        <v>45473</v>
      </c>
      <c r="C14" s="10">
        <f t="shared" si="3"/>
        <v>45474</v>
      </c>
      <c r="D14" s="10" cm="1">
        <f t="array" aca="1" ref="D14" ca="1">_xll.nxLibAddTenor(B14,"1BD","F","NewYork")</f>
        <v>45474</v>
      </c>
      <c r="E14" s="5">
        <v>45474</v>
      </c>
      <c r="F14" t="str">
        <f t="shared" ca="1" si="1"/>
        <v>Good</v>
      </c>
    </row>
    <row r="15" spans="1:11" x14ac:dyDescent="0.25">
      <c r="A15" s="9">
        <f t="shared" si="2"/>
        <v>13</v>
      </c>
      <c r="B15" s="10">
        <f t="shared" si="0"/>
        <v>45504</v>
      </c>
      <c r="C15" s="10">
        <f t="shared" si="3"/>
        <v>45505</v>
      </c>
      <c r="D15" s="10" cm="1">
        <f t="array" aca="1" ref="D15" ca="1">_xll.nxLibAddTenor(B15,"1BD","F","NewYork")</f>
        <v>45505</v>
      </c>
      <c r="E15" s="5">
        <v>45505</v>
      </c>
      <c r="F15" t="str">
        <f t="shared" ca="1" si="1"/>
        <v>Good</v>
      </c>
    </row>
    <row r="16" spans="1:11" x14ac:dyDescent="0.25">
      <c r="A16" s="9">
        <f t="shared" si="2"/>
        <v>14</v>
      </c>
      <c r="B16" s="10">
        <f t="shared" si="0"/>
        <v>45535</v>
      </c>
      <c r="C16" s="10">
        <f t="shared" si="3"/>
        <v>45536</v>
      </c>
      <c r="D16" s="10" cm="1">
        <f t="array" aca="1" ref="D16" ca="1">_xll.nxLibAddTenor(B16,"1BD","F","NewYork")</f>
        <v>45538</v>
      </c>
      <c r="E16" s="5">
        <v>45538</v>
      </c>
      <c r="F16" t="str">
        <f t="shared" ca="1" si="1"/>
        <v>Good</v>
      </c>
    </row>
    <row r="17" spans="1:6" x14ac:dyDescent="0.25">
      <c r="A17" s="9">
        <f t="shared" si="2"/>
        <v>15</v>
      </c>
      <c r="B17" s="10">
        <f t="shared" si="0"/>
        <v>45565</v>
      </c>
      <c r="C17" s="10">
        <f t="shared" si="3"/>
        <v>45566</v>
      </c>
      <c r="D17" s="10" cm="1">
        <f t="array" aca="1" ref="D17" ca="1">_xll.nxLibAddTenor(B17,"1BD","F","NewYork")</f>
        <v>45566</v>
      </c>
      <c r="E17" s="5">
        <v>45566</v>
      </c>
      <c r="F17" t="str">
        <f t="shared" ca="1" si="1"/>
        <v>Good</v>
      </c>
    </row>
    <row r="18" spans="1:6" x14ac:dyDescent="0.25">
      <c r="A18" s="9">
        <f t="shared" si="2"/>
        <v>16</v>
      </c>
      <c r="B18" s="10">
        <f t="shared" si="0"/>
        <v>45596</v>
      </c>
      <c r="C18" s="10">
        <f t="shared" si="3"/>
        <v>45597</v>
      </c>
      <c r="D18" s="10" cm="1">
        <f t="array" aca="1" ref="D18" ca="1">_xll.nxLibAddTenor(B18,"1BD","F","NewYork")</f>
        <v>45597</v>
      </c>
      <c r="E18" s="5">
        <v>45597</v>
      </c>
      <c r="F18" t="str">
        <f t="shared" ca="1" si="1"/>
        <v>Good</v>
      </c>
    </row>
    <row r="19" spans="1:6" x14ac:dyDescent="0.25">
      <c r="A19" s="9">
        <f t="shared" si="2"/>
        <v>17</v>
      </c>
      <c r="B19" s="10">
        <f t="shared" si="0"/>
        <v>45626</v>
      </c>
      <c r="C19" s="10">
        <f t="shared" si="3"/>
        <v>45627</v>
      </c>
      <c r="D19" s="10" cm="1">
        <f t="array" aca="1" ref="D19" ca="1">_xll.nxLibAddTenor(B19,"1BD","F","NewYork")</f>
        <v>45628</v>
      </c>
      <c r="E19" s="5">
        <v>45628</v>
      </c>
      <c r="F19" t="str">
        <f t="shared" ca="1" si="1"/>
        <v>Good</v>
      </c>
    </row>
    <row r="20" spans="1:6" x14ac:dyDescent="0.25">
      <c r="A20" s="9">
        <f t="shared" si="2"/>
        <v>18</v>
      </c>
      <c r="B20" s="10">
        <f t="shared" si="0"/>
        <v>45657</v>
      </c>
      <c r="C20" s="10">
        <f t="shared" si="3"/>
        <v>45658</v>
      </c>
      <c r="D20" s="10" cm="1">
        <f t="array" aca="1" ref="D20" ca="1">_xll.nxLibAddTenor(B20,"1BD","F","NewYork")</f>
        <v>45659</v>
      </c>
      <c r="E20" s="5">
        <v>45659</v>
      </c>
      <c r="F20" t="str">
        <f t="shared" ca="1" si="1"/>
        <v>Good</v>
      </c>
    </row>
    <row r="21" spans="1:6" x14ac:dyDescent="0.25">
      <c r="A21" s="9">
        <f t="shared" si="2"/>
        <v>19</v>
      </c>
      <c r="B21" s="10">
        <f t="shared" si="0"/>
        <v>45688</v>
      </c>
      <c r="C21" s="10">
        <f t="shared" si="3"/>
        <v>45689</v>
      </c>
      <c r="D21" s="10" cm="1">
        <f t="array" aca="1" ref="D21" ca="1">_xll.nxLibAddTenor(B21,"1BD","F","NewYork")</f>
        <v>45691</v>
      </c>
    </row>
    <row r="22" spans="1:6" x14ac:dyDescent="0.25">
      <c r="A22" s="9">
        <f t="shared" si="2"/>
        <v>20</v>
      </c>
      <c r="B22" s="10">
        <f t="shared" si="0"/>
        <v>45716</v>
      </c>
      <c r="C22" s="10">
        <f t="shared" si="3"/>
        <v>45717</v>
      </c>
      <c r="D22" s="10" cm="1">
        <f t="array" aca="1" ref="D22" ca="1">_xll.nxLibAddTenor(B22,"1BD","F","NewYork")</f>
        <v>45719</v>
      </c>
    </row>
    <row r="23" spans="1:6" x14ac:dyDescent="0.25">
      <c r="A23" s="9">
        <f t="shared" si="2"/>
        <v>21</v>
      </c>
      <c r="B23" s="10">
        <f t="shared" si="0"/>
        <v>45747</v>
      </c>
      <c r="C23" s="10">
        <f t="shared" si="3"/>
        <v>45748</v>
      </c>
      <c r="D23" s="10" cm="1">
        <f t="array" aca="1" ref="D23" ca="1">_xll.nxLibAddTenor(B23,"1BD","F","NewYork")</f>
        <v>45748</v>
      </c>
    </row>
    <row r="24" spans="1:6" x14ac:dyDescent="0.25">
      <c r="A24" s="9">
        <f t="shared" si="2"/>
        <v>22</v>
      </c>
      <c r="B24" s="10">
        <f t="shared" si="0"/>
        <v>45777</v>
      </c>
      <c r="C24" s="10">
        <f t="shared" si="3"/>
        <v>45778</v>
      </c>
      <c r="D24" s="10" cm="1">
        <f t="array" aca="1" ref="D24" ca="1">_xll.nxLibAddTenor(B24,"1BD","F","NewYork")</f>
        <v>45778</v>
      </c>
    </row>
    <row r="25" spans="1:6" x14ac:dyDescent="0.25">
      <c r="A25" s="9">
        <f t="shared" si="2"/>
        <v>23</v>
      </c>
      <c r="B25" s="10">
        <f t="shared" si="0"/>
        <v>45808</v>
      </c>
      <c r="C25" s="10">
        <f t="shared" si="3"/>
        <v>45809</v>
      </c>
      <c r="D25" s="10" cm="1">
        <f t="array" aca="1" ref="D25" ca="1">_xll.nxLibAddTenor(B25,"1BD","F","NewYork")</f>
        <v>45810</v>
      </c>
    </row>
    <row r="26" spans="1:6" x14ac:dyDescent="0.25">
      <c r="A26" s="9">
        <f t="shared" si="2"/>
        <v>24</v>
      </c>
      <c r="B26" s="10">
        <f t="shared" si="0"/>
        <v>45838</v>
      </c>
      <c r="C26" s="10">
        <f t="shared" si="3"/>
        <v>45839</v>
      </c>
      <c r="D26" s="10" cm="1">
        <f t="array" aca="1" ref="D26" ca="1">_xll.nxLibAddTenor(B26,"1BD","F","NewYork")</f>
        <v>45839</v>
      </c>
    </row>
    <row r="27" spans="1:6" x14ac:dyDescent="0.25">
      <c r="A27" s="9">
        <f t="shared" si="2"/>
        <v>25</v>
      </c>
      <c r="B27" s="10">
        <f t="shared" si="0"/>
        <v>45869</v>
      </c>
      <c r="C27" s="10">
        <f t="shared" si="3"/>
        <v>45870</v>
      </c>
      <c r="D27" s="10" cm="1">
        <f t="array" aca="1" ref="D27" ca="1">_xll.nxLibAddTenor(B27,"1BD","F","NewYork")</f>
        <v>45870</v>
      </c>
    </row>
    <row r="28" spans="1:6" x14ac:dyDescent="0.25">
      <c r="A28" s="9">
        <f t="shared" si="2"/>
        <v>26</v>
      </c>
      <c r="B28" s="10">
        <f t="shared" si="0"/>
        <v>45900</v>
      </c>
      <c r="C28" s="10">
        <f t="shared" si="3"/>
        <v>45901</v>
      </c>
      <c r="D28" s="10" cm="1">
        <f t="array" aca="1" ref="D28" ca="1">_xll.nxLibAddTenor(B28,"1BD","F","NewYork")</f>
        <v>45902</v>
      </c>
    </row>
    <row r="29" spans="1:6" x14ac:dyDescent="0.25">
      <c r="A29" s="9">
        <f t="shared" si="2"/>
        <v>27</v>
      </c>
      <c r="B29" s="10">
        <f t="shared" si="0"/>
        <v>45930</v>
      </c>
      <c r="C29" s="10">
        <f t="shared" si="3"/>
        <v>45931</v>
      </c>
      <c r="D29" s="10" cm="1">
        <f t="array" aca="1" ref="D29" ca="1">_xll.nxLibAddTenor(B29,"1BD","F","NewYork")</f>
        <v>45931</v>
      </c>
    </row>
    <row r="30" spans="1:6" x14ac:dyDescent="0.25">
      <c r="A30" s="9">
        <f t="shared" si="2"/>
        <v>28</v>
      </c>
      <c r="B30" s="10">
        <f t="shared" si="0"/>
        <v>45961</v>
      </c>
      <c r="C30" s="10">
        <f t="shared" si="3"/>
        <v>45962</v>
      </c>
      <c r="D30" s="10" cm="1">
        <f t="array" aca="1" ref="D30" ca="1">_xll.nxLibAddTenor(B30,"1BD","F","NewYork")</f>
        <v>45964</v>
      </c>
    </row>
    <row r="31" spans="1:6" x14ac:dyDescent="0.25">
      <c r="A31" s="9">
        <f t="shared" si="2"/>
        <v>29</v>
      </c>
      <c r="B31" s="10">
        <f t="shared" si="0"/>
        <v>45991</v>
      </c>
      <c r="C31" s="10">
        <f t="shared" si="3"/>
        <v>45992</v>
      </c>
      <c r="D31" s="10" cm="1">
        <f t="array" aca="1" ref="D31" ca="1">_xll.nxLibAddTenor(B31,"1BD","F","NewYork")</f>
        <v>45992</v>
      </c>
    </row>
    <row r="32" spans="1:6" x14ac:dyDescent="0.25">
      <c r="A32" s="9">
        <f t="shared" si="2"/>
        <v>30</v>
      </c>
      <c r="B32" s="10">
        <f t="shared" si="0"/>
        <v>46022</v>
      </c>
      <c r="C32" s="10">
        <f t="shared" si="3"/>
        <v>46023</v>
      </c>
      <c r="D32" s="10" cm="1">
        <f t="array" aca="1" ref="D32" ca="1">_xll.nxLibAddTenor(B32,"1BD","F","NewYork")</f>
        <v>46024</v>
      </c>
    </row>
    <row r="33" spans="1:4" x14ac:dyDescent="0.25">
      <c r="A33" s="9">
        <f t="shared" si="2"/>
        <v>31</v>
      </c>
      <c r="B33" s="10">
        <f t="shared" si="0"/>
        <v>46053</v>
      </c>
      <c r="C33" s="10">
        <f t="shared" si="3"/>
        <v>46054</v>
      </c>
      <c r="D33" s="10" cm="1">
        <f t="array" aca="1" ref="D33" ca="1">_xll.nxLibAddTenor(B33,"1BD","F","NewYork")</f>
        <v>46055</v>
      </c>
    </row>
    <row r="34" spans="1:4" x14ac:dyDescent="0.25">
      <c r="A34" s="9">
        <f t="shared" si="2"/>
        <v>32</v>
      </c>
      <c r="B34" s="10">
        <f t="shared" si="0"/>
        <v>46081</v>
      </c>
      <c r="C34" s="10">
        <f t="shared" si="3"/>
        <v>46082</v>
      </c>
      <c r="D34" s="10" cm="1">
        <f t="array" aca="1" ref="D34" ca="1">_xll.nxLibAddTenor(B34,"1BD","F","NewYork")</f>
        <v>46083</v>
      </c>
    </row>
    <row r="35" spans="1:4" x14ac:dyDescent="0.25">
      <c r="A35" s="9">
        <f t="shared" si="2"/>
        <v>33</v>
      </c>
      <c r="B35" s="10">
        <f t="shared" si="0"/>
        <v>46112</v>
      </c>
      <c r="C35" s="10">
        <f t="shared" si="3"/>
        <v>46113</v>
      </c>
      <c r="D35" s="10" cm="1">
        <f t="array" aca="1" ref="D35" ca="1">_xll.nxLibAddTenor(B35,"1BD","F","NewYork")</f>
        <v>46113</v>
      </c>
    </row>
    <row r="36" spans="1:4" x14ac:dyDescent="0.25">
      <c r="A36" s="9">
        <f t="shared" si="2"/>
        <v>34</v>
      </c>
      <c r="B36" s="10">
        <f t="shared" si="0"/>
        <v>46142</v>
      </c>
      <c r="C36" s="10">
        <f t="shared" si="3"/>
        <v>46143</v>
      </c>
      <c r="D36" s="10" cm="1">
        <f t="array" aca="1" ref="D36" ca="1">_xll.nxLibAddTenor(B36,"1BD","F","NewYork")</f>
        <v>46143</v>
      </c>
    </row>
    <row r="37" spans="1:4" x14ac:dyDescent="0.25">
      <c r="A37" s="9">
        <f t="shared" si="2"/>
        <v>35</v>
      </c>
      <c r="B37" s="10">
        <f t="shared" si="0"/>
        <v>46173</v>
      </c>
      <c r="C37" s="10">
        <f t="shared" si="3"/>
        <v>46174</v>
      </c>
      <c r="D37" s="10" cm="1">
        <f t="array" aca="1" ref="D37" ca="1">_xll.nxLibAddTenor(B37,"1BD","F","NewYork")</f>
        <v>46174</v>
      </c>
    </row>
    <row r="38" spans="1:4" x14ac:dyDescent="0.25">
      <c r="A38" s="9">
        <f t="shared" si="2"/>
        <v>36</v>
      </c>
      <c r="B38" s="10">
        <f t="shared" si="0"/>
        <v>46203</v>
      </c>
      <c r="C38" s="10">
        <f t="shared" si="3"/>
        <v>46204</v>
      </c>
      <c r="D38" s="10" cm="1">
        <f t="array" aca="1" ref="D38" ca="1">_xll.nxLibAddTenor(B38,"1BD","F","NewYork")</f>
        <v>46204</v>
      </c>
    </row>
    <row r="39" spans="1:4" x14ac:dyDescent="0.25">
      <c r="A39" s="9">
        <f t="shared" si="2"/>
        <v>37</v>
      </c>
      <c r="B39" s="10">
        <f t="shared" si="0"/>
        <v>46234</v>
      </c>
      <c r="C39" s="10">
        <f t="shared" si="3"/>
        <v>46235</v>
      </c>
      <c r="D39" s="10" cm="1">
        <f t="array" aca="1" ref="D39" ca="1">_xll.nxLibAddTenor(B39,"1BD","F","NewYork")</f>
        <v>46237</v>
      </c>
    </row>
    <row r="40" spans="1:4" x14ac:dyDescent="0.25">
      <c r="A40" s="9">
        <f t="shared" si="2"/>
        <v>38</v>
      </c>
      <c r="B40" s="10">
        <f t="shared" si="0"/>
        <v>46265</v>
      </c>
      <c r="C40" s="10">
        <f t="shared" si="3"/>
        <v>46266</v>
      </c>
      <c r="D40" s="10" cm="1">
        <f t="array" aca="1" ref="D40" ca="1">_xll.nxLibAddTenor(B40,"1BD","F","NewYork")</f>
        <v>46266</v>
      </c>
    </row>
    <row r="41" spans="1:4" x14ac:dyDescent="0.25">
      <c r="A41" s="9">
        <f t="shared" si="2"/>
        <v>39</v>
      </c>
      <c r="B41" s="10">
        <f t="shared" si="0"/>
        <v>46295</v>
      </c>
      <c r="C41" s="10">
        <f t="shared" si="3"/>
        <v>46296</v>
      </c>
      <c r="D41" s="10" cm="1">
        <f t="array" aca="1" ref="D41" ca="1">_xll.nxLibAddTenor(B41,"1BD","F","NewYork")</f>
        <v>46296</v>
      </c>
    </row>
    <row r="42" spans="1:4" x14ac:dyDescent="0.25">
      <c r="A42" s="9">
        <f t="shared" si="2"/>
        <v>40</v>
      </c>
      <c r="B42" s="10">
        <f t="shared" si="0"/>
        <v>46326</v>
      </c>
      <c r="C42" s="10">
        <f t="shared" si="3"/>
        <v>46327</v>
      </c>
      <c r="D42" s="10" cm="1">
        <f t="array" aca="1" ref="D42" ca="1">_xll.nxLibAddTenor(B42,"1BD","F","NewYork")</f>
        <v>46328</v>
      </c>
    </row>
    <row r="43" spans="1:4" x14ac:dyDescent="0.25">
      <c r="A43" s="9">
        <f t="shared" si="2"/>
        <v>41</v>
      </c>
      <c r="B43" s="10">
        <f t="shared" si="0"/>
        <v>46356</v>
      </c>
      <c r="C43" s="10">
        <f t="shared" si="3"/>
        <v>46357</v>
      </c>
      <c r="D43" s="10" cm="1">
        <f t="array" aca="1" ref="D43" ca="1">_xll.nxLibAddTenor(B43,"1BD","F","NewYork")</f>
        <v>46357</v>
      </c>
    </row>
    <row r="44" spans="1:4" x14ac:dyDescent="0.25">
      <c r="A44" s="9">
        <f t="shared" si="2"/>
        <v>42</v>
      </c>
      <c r="B44" s="10">
        <f t="shared" si="0"/>
        <v>46387</v>
      </c>
      <c r="C44" s="10">
        <f t="shared" si="3"/>
        <v>46388</v>
      </c>
      <c r="D44" s="10" cm="1">
        <f t="array" aca="1" ref="D44" ca="1">_xll.nxLibAddTenor(B44,"1BD","F","NewYork")</f>
        <v>46391</v>
      </c>
    </row>
    <row r="45" spans="1:4" x14ac:dyDescent="0.25">
      <c r="A45" s="9">
        <f t="shared" si="2"/>
        <v>43</v>
      </c>
      <c r="B45" s="10">
        <f t="shared" si="0"/>
        <v>46418</v>
      </c>
      <c r="C45" s="10">
        <f t="shared" si="3"/>
        <v>46419</v>
      </c>
      <c r="D45" s="10" cm="1">
        <f t="array" aca="1" ref="D45" ca="1">_xll.nxLibAddTenor(B45,"1BD","F","NewYork")</f>
        <v>46419</v>
      </c>
    </row>
    <row r="46" spans="1:4" x14ac:dyDescent="0.25">
      <c r="A46" s="9">
        <f t="shared" si="2"/>
        <v>44</v>
      </c>
      <c r="B46" s="10">
        <f t="shared" si="0"/>
        <v>46446</v>
      </c>
      <c r="C46" s="10">
        <f t="shared" si="3"/>
        <v>46447</v>
      </c>
      <c r="D46" s="10" cm="1">
        <f t="array" aca="1" ref="D46" ca="1">_xll.nxLibAddTenor(B46,"1BD","F","NewYork")</f>
        <v>46447</v>
      </c>
    </row>
    <row r="47" spans="1:4" x14ac:dyDescent="0.25">
      <c r="A47" s="9">
        <f t="shared" si="2"/>
        <v>45</v>
      </c>
      <c r="B47" s="10">
        <f t="shared" si="0"/>
        <v>46477</v>
      </c>
      <c r="C47" s="10">
        <f t="shared" si="3"/>
        <v>46478</v>
      </c>
      <c r="D47" s="10" cm="1">
        <f t="array" aca="1" ref="D47" ca="1">_xll.nxLibAddTenor(B47,"1BD","F","NewYork")</f>
        <v>46478</v>
      </c>
    </row>
    <row r="48" spans="1:4" x14ac:dyDescent="0.25">
      <c r="A48" s="9">
        <f t="shared" si="2"/>
        <v>46</v>
      </c>
      <c r="B48" s="10">
        <f t="shared" si="0"/>
        <v>46507</v>
      </c>
      <c r="C48" s="10">
        <f t="shared" si="3"/>
        <v>46508</v>
      </c>
      <c r="D48" s="10" cm="1">
        <f t="array" aca="1" ref="D48" ca="1">_xll.nxLibAddTenor(B48,"1BD","F","NewYork")</f>
        <v>46510</v>
      </c>
    </row>
    <row r="49" spans="1:4" x14ac:dyDescent="0.25">
      <c r="A49" s="9">
        <f t="shared" si="2"/>
        <v>47</v>
      </c>
      <c r="B49" s="10">
        <f t="shared" si="0"/>
        <v>46538</v>
      </c>
      <c r="C49" s="10">
        <f t="shared" si="3"/>
        <v>46539</v>
      </c>
      <c r="D49" s="10" cm="1">
        <f t="array" aca="1" ref="D49" ca="1">_xll.nxLibAddTenor(B49,"1BD","F","NewYork")</f>
        <v>46539</v>
      </c>
    </row>
    <row r="50" spans="1:4" x14ac:dyDescent="0.25">
      <c r="A50" s="9">
        <f t="shared" si="2"/>
        <v>48</v>
      </c>
      <c r="B50" s="10">
        <f t="shared" si="0"/>
        <v>46568</v>
      </c>
      <c r="C50" s="10">
        <f t="shared" si="3"/>
        <v>46569</v>
      </c>
      <c r="D50" s="10" cm="1">
        <f t="array" aca="1" ref="D50" ca="1">_xll.nxLibAddTenor(B50,"1BD","F","NewYork")</f>
        <v>46569</v>
      </c>
    </row>
    <row r="51" spans="1:4" x14ac:dyDescent="0.25">
      <c r="A51" s="9">
        <f t="shared" si="2"/>
        <v>49</v>
      </c>
      <c r="B51" s="10">
        <f t="shared" si="0"/>
        <v>46599</v>
      </c>
      <c r="C51" s="10">
        <f t="shared" si="3"/>
        <v>46600</v>
      </c>
      <c r="D51" s="10" cm="1">
        <f t="array" aca="1" ref="D51" ca="1">_xll.nxLibAddTenor(B51,"1BD","F","NewYork")</f>
        <v>46601</v>
      </c>
    </row>
    <row r="52" spans="1:4" x14ac:dyDescent="0.25">
      <c r="A52" s="9">
        <f t="shared" si="2"/>
        <v>50</v>
      </c>
      <c r="B52" s="10">
        <f t="shared" si="0"/>
        <v>46630</v>
      </c>
      <c r="C52" s="10">
        <f t="shared" si="3"/>
        <v>46631</v>
      </c>
      <c r="D52" s="10" cm="1">
        <f t="array" aca="1" ref="D52" ca="1">_xll.nxLibAddTenor(B52,"1BD","F","NewYork")</f>
        <v>46631</v>
      </c>
    </row>
    <row r="53" spans="1:4" x14ac:dyDescent="0.25">
      <c r="A53" s="9">
        <f t="shared" si="2"/>
        <v>51</v>
      </c>
      <c r="B53" s="10">
        <f t="shared" si="0"/>
        <v>46660</v>
      </c>
      <c r="C53" s="10">
        <f t="shared" si="3"/>
        <v>46661</v>
      </c>
      <c r="D53" s="10" cm="1">
        <f t="array" aca="1" ref="D53" ca="1">_xll.nxLibAddTenor(B53,"1BD","F","NewYork")</f>
        <v>46661</v>
      </c>
    </row>
    <row r="54" spans="1:4" x14ac:dyDescent="0.25">
      <c r="A54" s="9">
        <f t="shared" si="2"/>
        <v>52</v>
      </c>
      <c r="B54" s="10">
        <f t="shared" si="0"/>
        <v>46691</v>
      </c>
      <c r="C54" s="10">
        <f t="shared" si="3"/>
        <v>46692</v>
      </c>
      <c r="D54" s="10" cm="1">
        <f t="array" aca="1" ref="D54" ca="1">_xll.nxLibAddTenor(B54,"1BD","F","NewYork")</f>
        <v>46692</v>
      </c>
    </row>
    <row r="55" spans="1:4" x14ac:dyDescent="0.25">
      <c r="A55" s="9">
        <f t="shared" si="2"/>
        <v>53</v>
      </c>
      <c r="B55" s="10">
        <f t="shared" si="0"/>
        <v>46721</v>
      </c>
      <c r="C55" s="10">
        <f t="shared" si="3"/>
        <v>46722</v>
      </c>
      <c r="D55" s="10" cm="1">
        <f t="array" aca="1" ref="D55" ca="1">_xll.nxLibAddTenor(B55,"1BD","F","NewYork")</f>
        <v>46722</v>
      </c>
    </row>
    <row r="56" spans="1:4" x14ac:dyDescent="0.25">
      <c r="A56" s="9">
        <f t="shared" si="2"/>
        <v>54</v>
      </c>
      <c r="B56" s="10">
        <f t="shared" si="0"/>
        <v>46752</v>
      </c>
      <c r="C56" s="10">
        <f t="shared" si="3"/>
        <v>46753</v>
      </c>
      <c r="D56" s="10" cm="1">
        <f t="array" aca="1" ref="D56" ca="1">_xll.nxLibAddTenor(B56,"1BD","F","NewYork")</f>
        <v>46755</v>
      </c>
    </row>
    <row r="57" spans="1:4" x14ac:dyDescent="0.25">
      <c r="A57" s="9">
        <f t="shared" si="2"/>
        <v>55</v>
      </c>
      <c r="B57" s="10">
        <f t="shared" si="0"/>
        <v>46783</v>
      </c>
      <c r="C57" s="10">
        <f t="shared" si="3"/>
        <v>46784</v>
      </c>
      <c r="D57" s="10" cm="1">
        <f t="array" aca="1" ref="D57" ca="1">_xll.nxLibAddTenor(B57,"1BD","F","NewYork")</f>
        <v>46784</v>
      </c>
    </row>
    <row r="58" spans="1:4" x14ac:dyDescent="0.25">
      <c r="A58" s="9">
        <f t="shared" si="2"/>
        <v>56</v>
      </c>
      <c r="B58" s="10">
        <f t="shared" si="0"/>
        <v>46812</v>
      </c>
      <c r="C58" s="10">
        <f t="shared" si="3"/>
        <v>46813</v>
      </c>
      <c r="D58" s="10" cm="1">
        <f t="array" aca="1" ref="D58" ca="1">_xll.nxLibAddTenor(B58,"1BD","F","NewYork")</f>
        <v>46813</v>
      </c>
    </row>
    <row r="59" spans="1:4" x14ac:dyDescent="0.25">
      <c r="A59" s="9">
        <f t="shared" si="2"/>
        <v>57</v>
      </c>
      <c r="B59" s="10">
        <f t="shared" si="0"/>
        <v>46843</v>
      </c>
      <c r="C59" s="10">
        <f t="shared" si="3"/>
        <v>46844</v>
      </c>
      <c r="D59" s="10" cm="1">
        <f t="array" aca="1" ref="D59" ca="1">_xll.nxLibAddTenor(B59,"1BD","F","NewYork")</f>
        <v>46846</v>
      </c>
    </row>
    <row r="60" spans="1:4" x14ac:dyDescent="0.25">
      <c r="A60" s="9">
        <f t="shared" si="2"/>
        <v>58</v>
      </c>
      <c r="B60" s="10">
        <f t="shared" si="0"/>
        <v>46873</v>
      </c>
      <c r="C60" s="10">
        <f t="shared" si="3"/>
        <v>46874</v>
      </c>
      <c r="D60" s="10" cm="1">
        <f t="array" aca="1" ref="D60" ca="1">_xll.nxLibAddTenor(B60,"1BD","F","NewYork")</f>
        <v>46874</v>
      </c>
    </row>
    <row r="61" spans="1:4" x14ac:dyDescent="0.25">
      <c r="A61" s="9">
        <f t="shared" si="2"/>
        <v>59</v>
      </c>
      <c r="B61" s="10">
        <f t="shared" si="0"/>
        <v>46904</v>
      </c>
      <c r="C61" s="10">
        <f t="shared" si="3"/>
        <v>46905</v>
      </c>
      <c r="D61" s="10" cm="1">
        <f t="array" aca="1" ref="D61" ca="1">_xll.nxLibAddTenor(B61,"1BD","F","NewYork")</f>
        <v>46905</v>
      </c>
    </row>
    <row r="62" spans="1:4" x14ac:dyDescent="0.25">
      <c r="A62" s="9">
        <f t="shared" si="2"/>
        <v>60</v>
      </c>
      <c r="B62" s="10">
        <f t="shared" si="0"/>
        <v>46934</v>
      </c>
      <c r="C62" s="10">
        <f t="shared" si="3"/>
        <v>46935</v>
      </c>
      <c r="D62" s="10" cm="1">
        <f t="array" aca="1" ref="D62" ca="1">_xll.nxLibAddTenor(B62,"1BD","F","NewYork")</f>
        <v>46937</v>
      </c>
    </row>
    <row r="63" spans="1:4" x14ac:dyDescent="0.25">
      <c r="A63" s="9">
        <f t="shared" si="2"/>
        <v>61</v>
      </c>
      <c r="B63" s="10">
        <f t="shared" si="0"/>
        <v>46965</v>
      </c>
      <c r="C63" s="10">
        <f t="shared" si="3"/>
        <v>46966</v>
      </c>
      <c r="D63" s="10" cm="1">
        <f t="array" aca="1" ref="D63" ca="1">_xll.nxLibAddTenor(B63,"1BD","F","NewYork")</f>
        <v>46966</v>
      </c>
    </row>
    <row r="64" spans="1:4" x14ac:dyDescent="0.25">
      <c r="A64" s="9">
        <f t="shared" si="2"/>
        <v>62</v>
      </c>
      <c r="B64" s="10">
        <f t="shared" si="0"/>
        <v>46996</v>
      </c>
      <c r="C64" s="10">
        <f t="shared" si="3"/>
        <v>46997</v>
      </c>
      <c r="D64" s="10" cm="1">
        <f t="array" aca="1" ref="D64" ca="1">_xll.nxLibAddTenor(B64,"1BD","F","NewYork")</f>
        <v>46997</v>
      </c>
    </row>
    <row r="65" spans="1:4" x14ac:dyDescent="0.25">
      <c r="A65" s="9">
        <f t="shared" si="2"/>
        <v>63</v>
      </c>
      <c r="B65" s="10">
        <f t="shared" si="0"/>
        <v>47026</v>
      </c>
      <c r="C65" s="10">
        <f t="shared" si="3"/>
        <v>47027</v>
      </c>
      <c r="D65" s="10" cm="1">
        <f t="array" aca="1" ref="D65" ca="1">_xll.nxLibAddTenor(B65,"1BD","F","NewYork")</f>
        <v>47028</v>
      </c>
    </row>
    <row r="66" spans="1:4" x14ac:dyDescent="0.25">
      <c r="A66" s="9">
        <f t="shared" si="2"/>
        <v>64</v>
      </c>
      <c r="B66" s="10">
        <f t="shared" ref="B66:B129" si="4">EOMONTH(StartDt, A66)</f>
        <v>47057</v>
      </c>
      <c r="C66" s="10">
        <f t="shared" si="3"/>
        <v>47058</v>
      </c>
      <c r="D66" s="10" cm="1">
        <f t="array" aca="1" ref="D66" ca="1">_xll.nxLibAddTenor(B66,"1BD","F","NewYork")</f>
        <v>47058</v>
      </c>
    </row>
    <row r="67" spans="1:4" x14ac:dyDescent="0.25">
      <c r="A67" s="9">
        <f t="shared" si="2"/>
        <v>65</v>
      </c>
      <c r="B67" s="10">
        <f t="shared" si="4"/>
        <v>47087</v>
      </c>
      <c r="C67" s="10">
        <f t="shared" si="3"/>
        <v>47088</v>
      </c>
      <c r="D67" s="10" cm="1">
        <f t="array" aca="1" ref="D67" ca="1">_xll.nxLibAddTenor(B67,"1BD","F","NewYork")</f>
        <v>47088</v>
      </c>
    </row>
    <row r="68" spans="1:4" x14ac:dyDescent="0.25">
      <c r="A68" s="9">
        <f t="shared" ref="A68:A131" si="5">1+A67</f>
        <v>66</v>
      </c>
      <c r="B68" s="10">
        <f t="shared" si="4"/>
        <v>47118</v>
      </c>
      <c r="C68" s="10">
        <f t="shared" ref="C68:C131" si="6">B68+1</f>
        <v>47119</v>
      </c>
      <c r="D68" s="10" cm="1">
        <f t="array" aca="1" ref="D68" ca="1">_xll.nxLibAddTenor(B68,"1BD","F","NewYork")</f>
        <v>47120</v>
      </c>
    </row>
    <row r="69" spans="1:4" x14ac:dyDescent="0.25">
      <c r="A69" s="9">
        <f t="shared" si="5"/>
        <v>67</v>
      </c>
      <c r="B69" s="10">
        <f t="shared" si="4"/>
        <v>47149</v>
      </c>
      <c r="C69" s="10">
        <f t="shared" si="6"/>
        <v>47150</v>
      </c>
      <c r="D69" s="10" cm="1">
        <f t="array" aca="1" ref="D69" ca="1">_xll.nxLibAddTenor(B69,"1BD","F","NewYork")</f>
        <v>47150</v>
      </c>
    </row>
    <row r="70" spans="1:4" x14ac:dyDescent="0.25">
      <c r="A70" s="9">
        <f t="shared" si="5"/>
        <v>68</v>
      </c>
      <c r="B70" s="10">
        <f t="shared" si="4"/>
        <v>47177</v>
      </c>
      <c r="C70" s="10">
        <f t="shared" si="6"/>
        <v>47178</v>
      </c>
      <c r="D70" s="10" cm="1">
        <f t="array" aca="1" ref="D70" ca="1">_xll.nxLibAddTenor(B70,"1BD","F","NewYork")</f>
        <v>47178</v>
      </c>
    </row>
    <row r="71" spans="1:4" x14ac:dyDescent="0.25">
      <c r="A71" s="9">
        <f t="shared" si="5"/>
        <v>69</v>
      </c>
      <c r="B71" s="10">
        <f t="shared" si="4"/>
        <v>47208</v>
      </c>
      <c r="C71" s="10">
        <f t="shared" si="6"/>
        <v>47209</v>
      </c>
      <c r="D71" s="10" cm="1">
        <f t="array" aca="1" ref="D71" ca="1">_xll.nxLibAddTenor(B71,"1BD","F","NewYork")</f>
        <v>47210</v>
      </c>
    </row>
    <row r="72" spans="1:4" x14ac:dyDescent="0.25">
      <c r="A72" s="9">
        <f t="shared" si="5"/>
        <v>70</v>
      </c>
      <c r="B72" s="10">
        <f t="shared" si="4"/>
        <v>47238</v>
      </c>
      <c r="C72" s="10">
        <f t="shared" si="6"/>
        <v>47239</v>
      </c>
      <c r="D72" s="10" cm="1">
        <f t="array" aca="1" ref="D72" ca="1">_xll.nxLibAddTenor(B72,"1BD","F","NewYork")</f>
        <v>47239</v>
      </c>
    </row>
    <row r="73" spans="1:4" x14ac:dyDescent="0.25">
      <c r="A73" s="9">
        <f t="shared" si="5"/>
        <v>71</v>
      </c>
      <c r="B73" s="10">
        <f t="shared" si="4"/>
        <v>47269</v>
      </c>
      <c r="C73" s="10">
        <f t="shared" si="6"/>
        <v>47270</v>
      </c>
      <c r="D73" s="10" cm="1">
        <f t="array" aca="1" ref="D73" ca="1">_xll.nxLibAddTenor(B73,"1BD","F","NewYork")</f>
        <v>47270</v>
      </c>
    </row>
    <row r="74" spans="1:4" x14ac:dyDescent="0.25">
      <c r="A74" s="9">
        <f t="shared" si="5"/>
        <v>72</v>
      </c>
      <c r="B74" s="10">
        <f t="shared" si="4"/>
        <v>47299</v>
      </c>
      <c r="C74" s="10">
        <f t="shared" si="6"/>
        <v>47300</v>
      </c>
      <c r="D74" s="10" cm="1">
        <f t="array" aca="1" ref="D74" ca="1">_xll.nxLibAddTenor(B74,"1BD","F","NewYork")</f>
        <v>47301</v>
      </c>
    </row>
    <row r="75" spans="1:4" x14ac:dyDescent="0.25">
      <c r="A75" s="9">
        <f t="shared" si="5"/>
        <v>73</v>
      </c>
      <c r="B75" s="10">
        <f t="shared" si="4"/>
        <v>47330</v>
      </c>
      <c r="C75" s="10">
        <f t="shared" si="6"/>
        <v>47331</v>
      </c>
      <c r="D75" s="10" cm="1">
        <f t="array" aca="1" ref="D75" ca="1">_xll.nxLibAddTenor(B75,"1BD","F","NewYork")</f>
        <v>47331</v>
      </c>
    </row>
    <row r="76" spans="1:4" x14ac:dyDescent="0.25">
      <c r="A76" s="9">
        <f t="shared" si="5"/>
        <v>74</v>
      </c>
      <c r="B76" s="10">
        <f t="shared" si="4"/>
        <v>47361</v>
      </c>
      <c r="C76" s="10">
        <f t="shared" si="6"/>
        <v>47362</v>
      </c>
      <c r="D76" s="10" cm="1">
        <f t="array" aca="1" ref="D76" ca="1">_xll.nxLibAddTenor(B76,"1BD","F","NewYork")</f>
        <v>47365</v>
      </c>
    </row>
    <row r="77" spans="1:4" x14ac:dyDescent="0.25">
      <c r="A77" s="9">
        <f t="shared" si="5"/>
        <v>75</v>
      </c>
      <c r="B77" s="10">
        <f t="shared" si="4"/>
        <v>47391</v>
      </c>
      <c r="C77" s="10">
        <f t="shared" si="6"/>
        <v>47392</v>
      </c>
      <c r="D77" s="10" cm="1">
        <f t="array" aca="1" ref="D77" ca="1">_xll.nxLibAddTenor(B77,"1BD","F","NewYork")</f>
        <v>47392</v>
      </c>
    </row>
    <row r="78" spans="1:4" x14ac:dyDescent="0.25">
      <c r="A78" s="9">
        <f t="shared" si="5"/>
        <v>76</v>
      </c>
      <c r="B78" s="10">
        <f t="shared" si="4"/>
        <v>47422</v>
      </c>
      <c r="C78" s="10">
        <f t="shared" si="6"/>
        <v>47423</v>
      </c>
      <c r="D78" s="10" cm="1">
        <f t="array" aca="1" ref="D78" ca="1">_xll.nxLibAddTenor(B78,"1BD","F","NewYork")</f>
        <v>47423</v>
      </c>
    </row>
    <row r="79" spans="1:4" x14ac:dyDescent="0.25">
      <c r="A79" s="9">
        <f t="shared" si="5"/>
        <v>77</v>
      </c>
      <c r="B79" s="10">
        <f t="shared" si="4"/>
        <v>47452</v>
      </c>
      <c r="C79" s="10">
        <f t="shared" si="6"/>
        <v>47453</v>
      </c>
      <c r="D79" s="10" cm="1">
        <f t="array" aca="1" ref="D79" ca="1">_xll.nxLibAddTenor(B79,"1BD","F","NewYork")</f>
        <v>47455</v>
      </c>
    </row>
    <row r="80" spans="1:4" x14ac:dyDescent="0.25">
      <c r="A80" s="9">
        <f t="shared" si="5"/>
        <v>78</v>
      </c>
      <c r="B80" s="10">
        <f t="shared" si="4"/>
        <v>47483</v>
      </c>
      <c r="C80" s="10">
        <f t="shared" si="6"/>
        <v>47484</v>
      </c>
      <c r="D80" s="10" cm="1">
        <f t="array" aca="1" ref="D80" ca="1">_xll.nxLibAddTenor(B80,"1BD","F","NewYork")</f>
        <v>47485</v>
      </c>
    </row>
    <row r="81" spans="1:4" x14ac:dyDescent="0.25">
      <c r="A81" s="9">
        <f t="shared" si="5"/>
        <v>79</v>
      </c>
      <c r="B81" s="10">
        <f t="shared" si="4"/>
        <v>47514</v>
      </c>
      <c r="C81" s="10">
        <f t="shared" si="6"/>
        <v>47515</v>
      </c>
      <c r="D81" s="10" cm="1">
        <f t="array" aca="1" ref="D81" ca="1">_xll.nxLibAddTenor(B81,"1BD","F","NewYork")</f>
        <v>47515</v>
      </c>
    </row>
    <row r="82" spans="1:4" x14ac:dyDescent="0.25">
      <c r="A82" s="9">
        <f t="shared" si="5"/>
        <v>80</v>
      </c>
      <c r="B82" s="10">
        <f t="shared" si="4"/>
        <v>47542</v>
      </c>
      <c r="C82" s="10">
        <f t="shared" si="6"/>
        <v>47543</v>
      </c>
      <c r="D82" s="10" cm="1">
        <f t="array" aca="1" ref="D82" ca="1">_xll.nxLibAddTenor(B82,"1BD","F","NewYork")</f>
        <v>47543</v>
      </c>
    </row>
    <row r="83" spans="1:4" x14ac:dyDescent="0.25">
      <c r="A83" s="9">
        <f t="shared" si="5"/>
        <v>81</v>
      </c>
      <c r="B83" s="10">
        <f t="shared" si="4"/>
        <v>47573</v>
      </c>
      <c r="C83" s="10">
        <f t="shared" si="6"/>
        <v>47574</v>
      </c>
      <c r="D83" s="10" cm="1">
        <f t="array" aca="1" ref="D83" ca="1">_xll.nxLibAddTenor(B83,"1BD","F","NewYork")</f>
        <v>47574</v>
      </c>
    </row>
    <row r="84" spans="1:4" x14ac:dyDescent="0.25">
      <c r="A84" s="9">
        <f t="shared" si="5"/>
        <v>82</v>
      </c>
      <c r="B84" s="10">
        <f t="shared" si="4"/>
        <v>47603</v>
      </c>
      <c r="C84" s="10">
        <f t="shared" si="6"/>
        <v>47604</v>
      </c>
      <c r="D84" s="10" cm="1">
        <f t="array" aca="1" ref="D84" ca="1">_xll.nxLibAddTenor(B84,"1BD","F","NewYork")</f>
        <v>47604</v>
      </c>
    </row>
    <row r="85" spans="1:4" x14ac:dyDescent="0.25">
      <c r="A85" s="9">
        <f t="shared" si="5"/>
        <v>83</v>
      </c>
      <c r="B85" s="10">
        <f t="shared" si="4"/>
        <v>47634</v>
      </c>
      <c r="C85" s="10">
        <f t="shared" si="6"/>
        <v>47635</v>
      </c>
      <c r="D85" s="10" cm="1">
        <f t="array" aca="1" ref="D85" ca="1">_xll.nxLibAddTenor(B85,"1BD","F","NewYork")</f>
        <v>47637</v>
      </c>
    </row>
    <row r="86" spans="1:4" x14ac:dyDescent="0.25">
      <c r="A86" s="9">
        <f t="shared" si="5"/>
        <v>84</v>
      </c>
      <c r="B86" s="10">
        <f t="shared" si="4"/>
        <v>47664</v>
      </c>
      <c r="C86" s="10">
        <f t="shared" si="6"/>
        <v>47665</v>
      </c>
      <c r="D86" s="10" cm="1">
        <f t="array" aca="1" ref="D86" ca="1">_xll.nxLibAddTenor(B86,"1BD","F","NewYork")</f>
        <v>47665</v>
      </c>
    </row>
    <row r="87" spans="1:4" x14ac:dyDescent="0.25">
      <c r="A87" s="9">
        <f t="shared" si="5"/>
        <v>85</v>
      </c>
      <c r="B87" s="10">
        <f t="shared" si="4"/>
        <v>47695</v>
      </c>
      <c r="C87" s="10">
        <f t="shared" si="6"/>
        <v>47696</v>
      </c>
      <c r="D87" s="10" cm="1">
        <f t="array" aca="1" ref="D87" ca="1">_xll.nxLibAddTenor(B87,"1BD","F","NewYork")</f>
        <v>47696</v>
      </c>
    </row>
    <row r="88" spans="1:4" x14ac:dyDescent="0.25">
      <c r="A88" s="9">
        <f t="shared" si="5"/>
        <v>86</v>
      </c>
      <c r="B88" s="10">
        <f t="shared" si="4"/>
        <v>47726</v>
      </c>
      <c r="C88" s="10">
        <f t="shared" si="6"/>
        <v>47727</v>
      </c>
      <c r="D88" s="10" cm="1">
        <f t="array" aca="1" ref="D88" ca="1">_xll.nxLibAddTenor(B88,"1BD","F","NewYork")</f>
        <v>47729</v>
      </c>
    </row>
    <row r="89" spans="1:4" x14ac:dyDescent="0.25">
      <c r="A89" s="9">
        <f t="shared" si="5"/>
        <v>87</v>
      </c>
      <c r="B89" s="10">
        <f t="shared" si="4"/>
        <v>47756</v>
      </c>
      <c r="C89" s="10">
        <f t="shared" si="6"/>
        <v>47757</v>
      </c>
      <c r="D89" s="10" cm="1">
        <f t="array" aca="1" ref="D89" ca="1">_xll.nxLibAddTenor(B89,"1BD","F","NewYork")</f>
        <v>47757</v>
      </c>
    </row>
    <row r="90" spans="1:4" x14ac:dyDescent="0.25">
      <c r="A90" s="9">
        <f t="shared" si="5"/>
        <v>88</v>
      </c>
      <c r="B90" s="10">
        <f t="shared" si="4"/>
        <v>47787</v>
      </c>
      <c r="C90" s="10">
        <f t="shared" si="6"/>
        <v>47788</v>
      </c>
      <c r="D90" s="10" cm="1">
        <f t="array" aca="1" ref="D90" ca="1">_xll.nxLibAddTenor(B90,"1BD","F","NewYork")</f>
        <v>47788</v>
      </c>
    </row>
    <row r="91" spans="1:4" x14ac:dyDescent="0.25">
      <c r="A91" s="9">
        <f t="shared" si="5"/>
        <v>89</v>
      </c>
      <c r="B91" s="10">
        <f t="shared" si="4"/>
        <v>47817</v>
      </c>
      <c r="C91" s="10">
        <f t="shared" si="6"/>
        <v>47818</v>
      </c>
      <c r="D91" s="10" cm="1">
        <f t="array" aca="1" ref="D91" ca="1">_xll.nxLibAddTenor(B91,"1BD","F","NewYork")</f>
        <v>47819</v>
      </c>
    </row>
    <row r="92" spans="1:4" x14ac:dyDescent="0.25">
      <c r="A92" s="9">
        <f t="shared" si="5"/>
        <v>90</v>
      </c>
      <c r="B92" s="10">
        <f t="shared" si="4"/>
        <v>47848</v>
      </c>
      <c r="C92" s="10">
        <f t="shared" si="6"/>
        <v>47849</v>
      </c>
      <c r="D92" s="10" cm="1">
        <f t="array" aca="1" ref="D92" ca="1">_xll.nxLibAddTenor(B92,"1BD","F","NewYork")</f>
        <v>47850</v>
      </c>
    </row>
    <row r="93" spans="1:4" x14ac:dyDescent="0.25">
      <c r="A93" s="9">
        <f t="shared" si="5"/>
        <v>91</v>
      </c>
      <c r="B93" s="10">
        <f t="shared" si="4"/>
        <v>47879</v>
      </c>
      <c r="C93" s="10">
        <f t="shared" si="6"/>
        <v>47880</v>
      </c>
      <c r="D93" s="10" cm="1">
        <f t="array" aca="1" ref="D93" ca="1">_xll.nxLibAddTenor(B93,"1BD","F","NewYork")</f>
        <v>47882</v>
      </c>
    </row>
    <row r="94" spans="1:4" x14ac:dyDescent="0.25">
      <c r="A94" s="9">
        <f t="shared" si="5"/>
        <v>92</v>
      </c>
      <c r="B94" s="10">
        <f t="shared" si="4"/>
        <v>47907</v>
      </c>
      <c r="C94" s="10">
        <f t="shared" si="6"/>
        <v>47908</v>
      </c>
      <c r="D94" s="10" cm="1">
        <f t="array" aca="1" ref="D94" ca="1">_xll.nxLibAddTenor(B94,"1BD","F","NewYork")</f>
        <v>47910</v>
      </c>
    </row>
    <row r="95" spans="1:4" x14ac:dyDescent="0.25">
      <c r="A95" s="9">
        <f t="shared" si="5"/>
        <v>93</v>
      </c>
      <c r="B95" s="10">
        <f t="shared" si="4"/>
        <v>47938</v>
      </c>
      <c r="C95" s="10">
        <f t="shared" si="6"/>
        <v>47939</v>
      </c>
      <c r="D95" s="10" cm="1">
        <f t="array" aca="1" ref="D95" ca="1">_xll.nxLibAddTenor(B95,"1BD","F","NewYork")</f>
        <v>47939</v>
      </c>
    </row>
    <row r="96" spans="1:4" x14ac:dyDescent="0.25">
      <c r="A96" s="9">
        <f t="shared" si="5"/>
        <v>94</v>
      </c>
      <c r="B96" s="10">
        <f t="shared" si="4"/>
        <v>47968</v>
      </c>
      <c r="C96" s="10">
        <f t="shared" si="6"/>
        <v>47969</v>
      </c>
      <c r="D96" s="10" cm="1">
        <f t="array" aca="1" ref="D96" ca="1">_xll.nxLibAddTenor(B96,"1BD","F","NewYork")</f>
        <v>47969</v>
      </c>
    </row>
    <row r="97" spans="1:4" x14ac:dyDescent="0.25">
      <c r="A97" s="9">
        <f t="shared" si="5"/>
        <v>95</v>
      </c>
      <c r="B97" s="10">
        <f t="shared" si="4"/>
        <v>47999</v>
      </c>
      <c r="C97" s="10">
        <f t="shared" si="6"/>
        <v>48000</v>
      </c>
      <c r="D97" s="10" cm="1">
        <f t="array" aca="1" ref="D97" ca="1">_xll.nxLibAddTenor(B97,"1BD","F","NewYork")</f>
        <v>48001</v>
      </c>
    </row>
    <row r="98" spans="1:4" x14ac:dyDescent="0.25">
      <c r="A98" s="9">
        <f t="shared" si="5"/>
        <v>96</v>
      </c>
      <c r="B98" s="10">
        <f t="shared" si="4"/>
        <v>48029</v>
      </c>
      <c r="C98" s="10">
        <f t="shared" si="6"/>
        <v>48030</v>
      </c>
      <c r="D98" s="10" cm="1">
        <f t="array" aca="1" ref="D98" ca="1">_xll.nxLibAddTenor(B98,"1BD","F","NewYork")</f>
        <v>48030</v>
      </c>
    </row>
    <row r="99" spans="1:4" x14ac:dyDescent="0.25">
      <c r="A99" s="9">
        <f t="shared" si="5"/>
        <v>97</v>
      </c>
      <c r="B99" s="10">
        <f t="shared" si="4"/>
        <v>48060</v>
      </c>
      <c r="C99" s="10">
        <f t="shared" si="6"/>
        <v>48061</v>
      </c>
      <c r="D99" s="10" cm="1">
        <f t="array" aca="1" ref="D99" ca="1">_xll.nxLibAddTenor(B99,"1BD","F","NewYork")</f>
        <v>48061</v>
      </c>
    </row>
    <row r="100" spans="1:4" x14ac:dyDescent="0.25">
      <c r="A100" s="9">
        <f t="shared" si="5"/>
        <v>98</v>
      </c>
      <c r="B100" s="10">
        <f t="shared" si="4"/>
        <v>48091</v>
      </c>
      <c r="C100" s="10">
        <f t="shared" si="6"/>
        <v>48092</v>
      </c>
      <c r="D100" s="10" cm="1">
        <f t="array" aca="1" ref="D100" ca="1">_xll.nxLibAddTenor(B100,"1BD","F","NewYork")</f>
        <v>48093</v>
      </c>
    </row>
    <row r="101" spans="1:4" x14ac:dyDescent="0.25">
      <c r="A101" s="9">
        <f t="shared" si="5"/>
        <v>99</v>
      </c>
      <c r="B101" s="10">
        <f t="shared" si="4"/>
        <v>48121</v>
      </c>
      <c r="C101" s="10">
        <f t="shared" si="6"/>
        <v>48122</v>
      </c>
      <c r="D101" s="10" cm="1">
        <f t="array" aca="1" ref="D101" ca="1">_xll.nxLibAddTenor(B101,"1BD","F","NewYork")</f>
        <v>48122</v>
      </c>
    </row>
    <row r="102" spans="1:4" x14ac:dyDescent="0.25">
      <c r="A102" s="9">
        <f t="shared" si="5"/>
        <v>100</v>
      </c>
      <c r="B102" s="10">
        <f t="shared" si="4"/>
        <v>48152</v>
      </c>
      <c r="C102" s="10">
        <f t="shared" si="6"/>
        <v>48153</v>
      </c>
      <c r="D102" s="10" cm="1">
        <f t="array" aca="1" ref="D102" ca="1">_xll.nxLibAddTenor(B102,"1BD","F","NewYork")</f>
        <v>48155</v>
      </c>
    </row>
    <row r="103" spans="1:4" x14ac:dyDescent="0.25">
      <c r="A103" s="9">
        <f t="shared" si="5"/>
        <v>101</v>
      </c>
      <c r="B103" s="10">
        <f t="shared" si="4"/>
        <v>48182</v>
      </c>
      <c r="C103" s="10">
        <f t="shared" si="6"/>
        <v>48183</v>
      </c>
      <c r="D103" s="10" cm="1">
        <f t="array" aca="1" ref="D103" ca="1">_xll.nxLibAddTenor(B103,"1BD","F","NewYork")</f>
        <v>48183</v>
      </c>
    </row>
    <row r="104" spans="1:4" x14ac:dyDescent="0.25">
      <c r="A104" s="9">
        <f t="shared" si="5"/>
        <v>102</v>
      </c>
      <c r="B104" s="10">
        <f t="shared" si="4"/>
        <v>48213</v>
      </c>
      <c r="C104" s="10">
        <f t="shared" si="6"/>
        <v>48214</v>
      </c>
      <c r="D104" s="10" cm="1">
        <f t="array" aca="1" ref="D104" ca="1">_xll.nxLibAddTenor(B104,"1BD","F","NewYork")</f>
        <v>48215</v>
      </c>
    </row>
    <row r="105" spans="1:4" x14ac:dyDescent="0.25">
      <c r="A105" s="9">
        <f t="shared" si="5"/>
        <v>103</v>
      </c>
      <c r="B105" s="10">
        <f t="shared" si="4"/>
        <v>48244</v>
      </c>
      <c r="C105" s="10">
        <f t="shared" si="6"/>
        <v>48245</v>
      </c>
      <c r="D105" s="10" cm="1">
        <f t="array" aca="1" ref="D105" ca="1">_xll.nxLibAddTenor(B105,"1BD","F","NewYork")</f>
        <v>48246</v>
      </c>
    </row>
    <row r="106" spans="1:4" x14ac:dyDescent="0.25">
      <c r="A106" s="9">
        <f t="shared" si="5"/>
        <v>104</v>
      </c>
      <c r="B106" s="10">
        <f t="shared" si="4"/>
        <v>48273</v>
      </c>
      <c r="C106" s="10">
        <f t="shared" si="6"/>
        <v>48274</v>
      </c>
      <c r="D106" s="10" cm="1">
        <f t="array" aca="1" ref="D106" ca="1">_xll.nxLibAddTenor(B106,"1BD","F","NewYork")</f>
        <v>48274</v>
      </c>
    </row>
    <row r="107" spans="1:4" x14ac:dyDescent="0.25">
      <c r="A107" s="9">
        <f t="shared" si="5"/>
        <v>105</v>
      </c>
      <c r="B107" s="10">
        <f t="shared" si="4"/>
        <v>48304</v>
      </c>
      <c r="C107" s="10">
        <f t="shared" si="6"/>
        <v>48305</v>
      </c>
      <c r="D107" s="10" cm="1">
        <f t="array" aca="1" ref="D107" ca="1">_xll.nxLibAddTenor(B107,"1BD","F","NewYork")</f>
        <v>48305</v>
      </c>
    </row>
    <row r="108" spans="1:4" x14ac:dyDescent="0.25">
      <c r="A108" s="9">
        <f t="shared" si="5"/>
        <v>106</v>
      </c>
      <c r="B108" s="10">
        <f t="shared" si="4"/>
        <v>48334</v>
      </c>
      <c r="C108" s="10">
        <f t="shared" si="6"/>
        <v>48335</v>
      </c>
      <c r="D108" s="10" cm="1">
        <f t="array" aca="1" ref="D108" ca="1">_xll.nxLibAddTenor(B108,"1BD","F","NewYork")</f>
        <v>48337</v>
      </c>
    </row>
    <row r="109" spans="1:4" x14ac:dyDescent="0.25">
      <c r="A109" s="9">
        <f t="shared" si="5"/>
        <v>107</v>
      </c>
      <c r="B109" s="10">
        <f t="shared" si="4"/>
        <v>48365</v>
      </c>
      <c r="C109" s="10">
        <f t="shared" si="6"/>
        <v>48366</v>
      </c>
      <c r="D109" s="10" cm="1">
        <f t="array" aca="1" ref="D109" ca="1">_xll.nxLibAddTenor(B109,"1BD","F","NewYork")</f>
        <v>48366</v>
      </c>
    </row>
    <row r="110" spans="1:4" x14ac:dyDescent="0.25">
      <c r="A110" s="9">
        <f t="shared" si="5"/>
        <v>108</v>
      </c>
      <c r="B110" s="10">
        <f t="shared" si="4"/>
        <v>48395</v>
      </c>
      <c r="C110" s="10">
        <f t="shared" si="6"/>
        <v>48396</v>
      </c>
      <c r="D110" s="10" cm="1">
        <f t="array" aca="1" ref="D110" ca="1">_xll.nxLibAddTenor(B110,"1BD","F","NewYork")</f>
        <v>48396</v>
      </c>
    </row>
    <row r="111" spans="1:4" x14ac:dyDescent="0.25">
      <c r="A111" s="9">
        <f t="shared" si="5"/>
        <v>109</v>
      </c>
      <c r="B111" s="10">
        <f t="shared" si="4"/>
        <v>48426</v>
      </c>
      <c r="C111" s="10">
        <f t="shared" si="6"/>
        <v>48427</v>
      </c>
      <c r="D111" s="10" cm="1">
        <f t="array" aca="1" ref="D111" ca="1">_xll.nxLibAddTenor(B111,"1BD","F","NewYork")</f>
        <v>48428</v>
      </c>
    </row>
    <row r="112" spans="1:4" x14ac:dyDescent="0.25">
      <c r="A112" s="9">
        <f t="shared" si="5"/>
        <v>110</v>
      </c>
      <c r="B112" s="10">
        <f t="shared" si="4"/>
        <v>48457</v>
      </c>
      <c r="C112" s="10">
        <f t="shared" si="6"/>
        <v>48458</v>
      </c>
      <c r="D112" s="10" cm="1">
        <f t="array" aca="1" ref="D112" ca="1">_xll.nxLibAddTenor(B112,"1BD","F","NewYork")</f>
        <v>48458</v>
      </c>
    </row>
    <row r="113" spans="1:4" x14ac:dyDescent="0.25">
      <c r="A113" s="9">
        <f t="shared" si="5"/>
        <v>111</v>
      </c>
      <c r="B113" s="10">
        <f t="shared" si="4"/>
        <v>48487</v>
      </c>
      <c r="C113" s="10">
        <f t="shared" si="6"/>
        <v>48488</v>
      </c>
      <c r="D113" s="10" cm="1">
        <f t="array" aca="1" ref="D113" ca="1">_xll.nxLibAddTenor(B113,"1BD","F","NewYork")</f>
        <v>48488</v>
      </c>
    </row>
    <row r="114" spans="1:4" x14ac:dyDescent="0.25">
      <c r="A114" s="9">
        <f t="shared" si="5"/>
        <v>112</v>
      </c>
      <c r="B114" s="10">
        <f t="shared" si="4"/>
        <v>48518</v>
      </c>
      <c r="C114" s="10">
        <f t="shared" si="6"/>
        <v>48519</v>
      </c>
      <c r="D114" s="10" cm="1">
        <f t="array" aca="1" ref="D114" ca="1">_xll.nxLibAddTenor(B114,"1BD","F","NewYork")</f>
        <v>48519</v>
      </c>
    </row>
    <row r="115" spans="1:4" x14ac:dyDescent="0.25">
      <c r="A115" s="9">
        <f t="shared" si="5"/>
        <v>113</v>
      </c>
      <c r="B115" s="10">
        <f t="shared" si="4"/>
        <v>48548</v>
      </c>
      <c r="C115" s="10">
        <f t="shared" si="6"/>
        <v>48549</v>
      </c>
      <c r="D115" s="10" cm="1">
        <f t="array" aca="1" ref="D115" ca="1">_xll.nxLibAddTenor(B115,"1BD","F","NewYork")</f>
        <v>48549</v>
      </c>
    </row>
    <row r="116" spans="1:4" x14ac:dyDescent="0.25">
      <c r="A116" s="9">
        <f t="shared" si="5"/>
        <v>114</v>
      </c>
      <c r="B116" s="10">
        <f t="shared" si="4"/>
        <v>48579</v>
      </c>
      <c r="C116" s="10">
        <f t="shared" si="6"/>
        <v>48580</v>
      </c>
      <c r="D116" s="10" cm="1">
        <f t="array" aca="1" ref="D116" ca="1">_xll.nxLibAddTenor(B116,"1BD","F","NewYork")</f>
        <v>48582</v>
      </c>
    </row>
    <row r="117" spans="1:4" x14ac:dyDescent="0.25">
      <c r="A117" s="9">
        <f t="shared" si="5"/>
        <v>115</v>
      </c>
      <c r="B117" s="10">
        <f t="shared" si="4"/>
        <v>48610</v>
      </c>
      <c r="C117" s="10">
        <f t="shared" si="6"/>
        <v>48611</v>
      </c>
      <c r="D117" s="10" cm="1">
        <f t="array" aca="1" ref="D117" ca="1">_xll.nxLibAddTenor(B117,"1BD","F","NewYork")</f>
        <v>48611</v>
      </c>
    </row>
    <row r="118" spans="1:4" x14ac:dyDescent="0.25">
      <c r="A118" s="9">
        <f t="shared" si="5"/>
        <v>116</v>
      </c>
      <c r="B118" s="10">
        <f t="shared" si="4"/>
        <v>48638</v>
      </c>
      <c r="C118" s="10">
        <f t="shared" si="6"/>
        <v>48639</v>
      </c>
      <c r="D118" s="10" cm="1">
        <f t="array" aca="1" ref="D118" ca="1">_xll.nxLibAddTenor(B118,"1BD","F","NewYork")</f>
        <v>48639</v>
      </c>
    </row>
    <row r="119" spans="1:4" x14ac:dyDescent="0.25">
      <c r="A119" s="9">
        <f t="shared" si="5"/>
        <v>117</v>
      </c>
      <c r="B119" s="10">
        <f t="shared" si="4"/>
        <v>48669</v>
      </c>
      <c r="C119" s="10">
        <f t="shared" si="6"/>
        <v>48670</v>
      </c>
      <c r="D119" s="10" cm="1">
        <f t="array" aca="1" ref="D119" ca="1">_xll.nxLibAddTenor(B119,"1BD","F","NewYork")</f>
        <v>48670</v>
      </c>
    </row>
    <row r="120" spans="1:4" x14ac:dyDescent="0.25">
      <c r="A120" s="9">
        <f t="shared" si="5"/>
        <v>118</v>
      </c>
      <c r="B120" s="10">
        <f t="shared" si="4"/>
        <v>48699</v>
      </c>
      <c r="C120" s="10">
        <f t="shared" si="6"/>
        <v>48700</v>
      </c>
      <c r="D120" s="10" cm="1">
        <f t="array" aca="1" ref="D120" ca="1">_xll.nxLibAddTenor(B120,"1BD","F","NewYork")</f>
        <v>48701</v>
      </c>
    </row>
    <row r="121" spans="1:4" x14ac:dyDescent="0.25">
      <c r="A121" s="9">
        <f t="shared" si="5"/>
        <v>119</v>
      </c>
      <c r="B121" s="10">
        <f t="shared" si="4"/>
        <v>48730</v>
      </c>
      <c r="C121" s="10">
        <f t="shared" si="6"/>
        <v>48731</v>
      </c>
      <c r="D121" s="10" cm="1">
        <f t="array" aca="1" ref="D121" ca="1">_xll.nxLibAddTenor(B121,"1BD","F","NewYork")</f>
        <v>48731</v>
      </c>
    </row>
    <row r="122" spans="1:4" x14ac:dyDescent="0.25">
      <c r="A122" s="9">
        <f t="shared" si="5"/>
        <v>120</v>
      </c>
      <c r="B122" s="10">
        <f t="shared" si="4"/>
        <v>48760</v>
      </c>
      <c r="C122" s="10">
        <f t="shared" si="6"/>
        <v>48761</v>
      </c>
      <c r="D122" s="10" cm="1">
        <f t="array" aca="1" ref="D122" ca="1">_xll.nxLibAddTenor(B122,"1BD","F","NewYork")</f>
        <v>48761</v>
      </c>
    </row>
    <row r="123" spans="1:4" x14ac:dyDescent="0.25">
      <c r="A123" s="9">
        <f t="shared" si="5"/>
        <v>121</v>
      </c>
      <c r="B123" s="10">
        <f t="shared" si="4"/>
        <v>48791</v>
      </c>
      <c r="C123" s="10">
        <f t="shared" si="6"/>
        <v>48792</v>
      </c>
      <c r="D123" s="10" cm="1">
        <f t="array" aca="1" ref="D123" ca="1">_xll.nxLibAddTenor(B123,"1BD","F","NewYork")</f>
        <v>48792</v>
      </c>
    </row>
    <row r="124" spans="1:4" x14ac:dyDescent="0.25">
      <c r="A124" s="9">
        <f t="shared" si="5"/>
        <v>122</v>
      </c>
      <c r="B124" s="10">
        <f t="shared" si="4"/>
        <v>48822</v>
      </c>
      <c r="C124" s="10">
        <f t="shared" si="6"/>
        <v>48823</v>
      </c>
      <c r="D124" s="10" cm="1">
        <f t="array" aca="1" ref="D124" ca="1">_xll.nxLibAddTenor(B124,"1BD","F","NewYork")</f>
        <v>48823</v>
      </c>
    </row>
    <row r="125" spans="1:4" x14ac:dyDescent="0.25">
      <c r="A125" s="9">
        <f t="shared" si="5"/>
        <v>123</v>
      </c>
      <c r="B125" s="10">
        <f t="shared" si="4"/>
        <v>48852</v>
      </c>
      <c r="C125" s="10">
        <f t="shared" si="6"/>
        <v>48853</v>
      </c>
      <c r="D125" s="10" cm="1">
        <f t="array" aca="1" ref="D125" ca="1">_xll.nxLibAddTenor(B125,"1BD","F","NewYork")</f>
        <v>48855</v>
      </c>
    </row>
    <row r="126" spans="1:4" x14ac:dyDescent="0.25">
      <c r="A126" s="9">
        <f t="shared" si="5"/>
        <v>124</v>
      </c>
      <c r="B126" s="10">
        <f t="shared" si="4"/>
        <v>48883</v>
      </c>
      <c r="C126" s="10">
        <f t="shared" si="6"/>
        <v>48884</v>
      </c>
      <c r="D126" s="10" cm="1">
        <f t="array" aca="1" ref="D126" ca="1">_xll.nxLibAddTenor(B126,"1BD","F","NewYork")</f>
        <v>48884</v>
      </c>
    </row>
    <row r="127" spans="1:4" x14ac:dyDescent="0.25">
      <c r="A127" s="9">
        <f t="shared" si="5"/>
        <v>125</v>
      </c>
      <c r="B127" s="10">
        <f t="shared" si="4"/>
        <v>48913</v>
      </c>
      <c r="C127" s="10">
        <f t="shared" si="6"/>
        <v>48914</v>
      </c>
      <c r="D127" s="10" cm="1">
        <f t="array" aca="1" ref="D127" ca="1">_xll.nxLibAddTenor(B127,"1BD","F","NewYork")</f>
        <v>48914</v>
      </c>
    </row>
    <row r="128" spans="1:4" x14ac:dyDescent="0.25">
      <c r="A128" s="9">
        <f t="shared" si="5"/>
        <v>126</v>
      </c>
      <c r="B128" s="10">
        <f t="shared" si="4"/>
        <v>48944</v>
      </c>
      <c r="C128" s="10">
        <f t="shared" si="6"/>
        <v>48945</v>
      </c>
      <c r="D128" s="10" cm="1">
        <f t="array" aca="1" ref="D128" ca="1">_xll.nxLibAddTenor(B128,"1BD","F","NewYork")</f>
        <v>48947</v>
      </c>
    </row>
    <row r="129" spans="1:4" x14ac:dyDescent="0.25">
      <c r="A129" s="9">
        <f t="shared" si="5"/>
        <v>127</v>
      </c>
      <c r="B129" s="10">
        <f t="shared" si="4"/>
        <v>48975</v>
      </c>
      <c r="C129" s="10">
        <f t="shared" si="6"/>
        <v>48976</v>
      </c>
      <c r="D129" s="10" cm="1">
        <f t="array" aca="1" ref="D129" ca="1">_xll.nxLibAddTenor(B129,"1BD","F","NewYork")</f>
        <v>48976</v>
      </c>
    </row>
    <row r="130" spans="1:4" x14ac:dyDescent="0.25">
      <c r="A130" s="9">
        <f t="shared" si="5"/>
        <v>128</v>
      </c>
      <c r="B130" s="10">
        <f t="shared" ref="B130:B193" si="7">EOMONTH(StartDt, A130)</f>
        <v>49003</v>
      </c>
      <c r="C130" s="10">
        <f t="shared" si="6"/>
        <v>49004</v>
      </c>
      <c r="D130" s="10" cm="1">
        <f t="array" aca="1" ref="D130" ca="1">_xll.nxLibAddTenor(B130,"1BD","F","NewYork")</f>
        <v>49004</v>
      </c>
    </row>
    <row r="131" spans="1:4" x14ac:dyDescent="0.25">
      <c r="A131" s="9">
        <f t="shared" si="5"/>
        <v>129</v>
      </c>
      <c r="B131" s="10">
        <f t="shared" si="7"/>
        <v>49034</v>
      </c>
      <c r="C131" s="10">
        <f t="shared" si="6"/>
        <v>49035</v>
      </c>
      <c r="D131" s="10" cm="1">
        <f t="array" aca="1" ref="D131" ca="1">_xll.nxLibAddTenor(B131,"1BD","F","NewYork")</f>
        <v>49037</v>
      </c>
    </row>
    <row r="132" spans="1:4" x14ac:dyDescent="0.25">
      <c r="A132" s="9">
        <f t="shared" ref="A132:A195" si="8">1+A131</f>
        <v>130</v>
      </c>
      <c r="B132" s="10">
        <f t="shared" si="7"/>
        <v>49064</v>
      </c>
      <c r="C132" s="10">
        <f t="shared" ref="C132:C195" si="9">B132+1</f>
        <v>49065</v>
      </c>
      <c r="D132" s="10" cm="1">
        <f t="array" aca="1" ref="D132" ca="1">_xll.nxLibAddTenor(B132,"1BD","F","NewYork")</f>
        <v>49065</v>
      </c>
    </row>
    <row r="133" spans="1:4" x14ac:dyDescent="0.25">
      <c r="A133" s="9">
        <f t="shared" si="8"/>
        <v>131</v>
      </c>
      <c r="B133" s="10">
        <f t="shared" si="7"/>
        <v>49095</v>
      </c>
      <c r="C133" s="10">
        <f t="shared" si="9"/>
        <v>49096</v>
      </c>
      <c r="D133" s="10" cm="1">
        <f t="array" aca="1" ref="D133" ca="1">_xll.nxLibAddTenor(B133,"1BD","F","NewYork")</f>
        <v>49096</v>
      </c>
    </row>
    <row r="134" spans="1:4" x14ac:dyDescent="0.25">
      <c r="A134" s="9">
        <f t="shared" si="8"/>
        <v>132</v>
      </c>
      <c r="B134" s="10">
        <f t="shared" si="7"/>
        <v>49125</v>
      </c>
      <c r="C134" s="10">
        <f t="shared" si="9"/>
        <v>49126</v>
      </c>
      <c r="D134" s="10" cm="1">
        <f t="array" aca="1" ref="D134" ca="1">_xll.nxLibAddTenor(B134,"1BD","F","NewYork")</f>
        <v>49128</v>
      </c>
    </row>
    <row r="135" spans="1:4" x14ac:dyDescent="0.25">
      <c r="A135" s="9">
        <f t="shared" si="8"/>
        <v>133</v>
      </c>
      <c r="B135" s="10">
        <f t="shared" si="7"/>
        <v>49156</v>
      </c>
      <c r="C135" s="10">
        <f t="shared" si="9"/>
        <v>49157</v>
      </c>
      <c r="D135" s="10" cm="1">
        <f t="array" aca="1" ref="D135" ca="1">_xll.nxLibAddTenor(B135,"1BD","F","NewYork")</f>
        <v>49157</v>
      </c>
    </row>
    <row r="136" spans="1:4" x14ac:dyDescent="0.25">
      <c r="A136" s="9">
        <f t="shared" si="8"/>
        <v>134</v>
      </c>
      <c r="B136" s="10">
        <f t="shared" si="7"/>
        <v>49187</v>
      </c>
      <c r="C136" s="10">
        <f t="shared" si="9"/>
        <v>49188</v>
      </c>
      <c r="D136" s="10" cm="1">
        <f t="array" aca="1" ref="D136" ca="1">_xll.nxLibAddTenor(B136,"1BD","F","NewYork")</f>
        <v>49188</v>
      </c>
    </row>
    <row r="137" spans="1:4" x14ac:dyDescent="0.25">
      <c r="A137" s="9">
        <f t="shared" si="8"/>
        <v>135</v>
      </c>
      <c r="B137" s="10">
        <f t="shared" si="7"/>
        <v>49217</v>
      </c>
      <c r="C137" s="10">
        <f t="shared" si="9"/>
        <v>49218</v>
      </c>
      <c r="D137" s="10" cm="1">
        <f t="array" aca="1" ref="D137" ca="1">_xll.nxLibAddTenor(B137,"1BD","F","NewYork")</f>
        <v>49219</v>
      </c>
    </row>
    <row r="138" spans="1:4" x14ac:dyDescent="0.25">
      <c r="A138" s="9">
        <f t="shared" si="8"/>
        <v>136</v>
      </c>
      <c r="B138" s="10">
        <f t="shared" si="7"/>
        <v>49248</v>
      </c>
      <c r="C138" s="10">
        <f t="shared" si="9"/>
        <v>49249</v>
      </c>
      <c r="D138" s="10" cm="1">
        <f t="array" aca="1" ref="D138" ca="1">_xll.nxLibAddTenor(B138,"1BD","F","NewYork")</f>
        <v>49249</v>
      </c>
    </row>
    <row r="139" spans="1:4" x14ac:dyDescent="0.25">
      <c r="A139" s="9">
        <f t="shared" si="8"/>
        <v>137</v>
      </c>
      <c r="B139" s="10">
        <f t="shared" si="7"/>
        <v>49278</v>
      </c>
      <c r="C139" s="10">
        <f t="shared" si="9"/>
        <v>49279</v>
      </c>
      <c r="D139" s="10" cm="1">
        <f t="array" aca="1" ref="D139" ca="1">_xll.nxLibAddTenor(B139,"1BD","F","NewYork")</f>
        <v>49279</v>
      </c>
    </row>
    <row r="140" spans="1:4" x14ac:dyDescent="0.25">
      <c r="A140" s="9">
        <f t="shared" si="8"/>
        <v>138</v>
      </c>
      <c r="B140" s="10">
        <f t="shared" si="7"/>
        <v>49309</v>
      </c>
      <c r="C140" s="10">
        <f t="shared" si="9"/>
        <v>49310</v>
      </c>
      <c r="D140" s="10" cm="1">
        <f t="array" aca="1" ref="D140" ca="1">_xll.nxLibAddTenor(B140,"1BD","F","NewYork")</f>
        <v>49311</v>
      </c>
    </row>
    <row r="141" spans="1:4" x14ac:dyDescent="0.25">
      <c r="A141" s="9">
        <f t="shared" si="8"/>
        <v>139</v>
      </c>
      <c r="B141" s="10">
        <f t="shared" si="7"/>
        <v>49340</v>
      </c>
      <c r="C141" s="10">
        <f t="shared" si="9"/>
        <v>49341</v>
      </c>
      <c r="D141" s="10" cm="1">
        <f t="array" aca="1" ref="D141" ca="1">_xll.nxLibAddTenor(B141,"1BD","F","NewYork")</f>
        <v>49341</v>
      </c>
    </row>
    <row r="142" spans="1:4" x14ac:dyDescent="0.25">
      <c r="A142" s="9">
        <f t="shared" si="8"/>
        <v>140</v>
      </c>
      <c r="B142" s="10">
        <f t="shared" si="7"/>
        <v>49368</v>
      </c>
      <c r="C142" s="10">
        <f t="shared" si="9"/>
        <v>49369</v>
      </c>
      <c r="D142" s="10" cm="1">
        <f t="array" aca="1" ref="D142" ca="1">_xll.nxLibAddTenor(B142,"1BD","F","NewYork")</f>
        <v>49369</v>
      </c>
    </row>
    <row r="143" spans="1:4" x14ac:dyDescent="0.25">
      <c r="A143" s="9">
        <f t="shared" si="8"/>
        <v>141</v>
      </c>
      <c r="B143" s="10">
        <f t="shared" si="7"/>
        <v>49399</v>
      </c>
      <c r="C143" s="10">
        <f t="shared" si="9"/>
        <v>49400</v>
      </c>
      <c r="D143" s="10" cm="1">
        <f t="array" aca="1" ref="D143" ca="1">_xll.nxLibAddTenor(B143,"1BD","F","NewYork")</f>
        <v>49401</v>
      </c>
    </row>
    <row r="144" spans="1:4" x14ac:dyDescent="0.25">
      <c r="A144" s="9">
        <f t="shared" si="8"/>
        <v>142</v>
      </c>
      <c r="B144" s="10">
        <f t="shared" si="7"/>
        <v>49429</v>
      </c>
      <c r="C144" s="10">
        <f t="shared" si="9"/>
        <v>49430</v>
      </c>
      <c r="D144" s="10" cm="1">
        <f t="array" aca="1" ref="D144" ca="1">_xll.nxLibAddTenor(B144,"1BD","F","NewYork")</f>
        <v>49430</v>
      </c>
    </row>
    <row r="145" spans="1:4" x14ac:dyDescent="0.25">
      <c r="A145" s="9">
        <f t="shared" si="8"/>
        <v>143</v>
      </c>
      <c r="B145" s="10">
        <f t="shared" si="7"/>
        <v>49460</v>
      </c>
      <c r="C145" s="10">
        <f t="shared" si="9"/>
        <v>49461</v>
      </c>
      <c r="D145" s="10" cm="1">
        <f t="array" aca="1" ref="D145" ca="1">_xll.nxLibAddTenor(B145,"1BD","F","NewYork")</f>
        <v>49461</v>
      </c>
    </row>
    <row r="146" spans="1:4" x14ac:dyDescent="0.25">
      <c r="A146" s="9">
        <f t="shared" si="8"/>
        <v>144</v>
      </c>
      <c r="B146" s="10">
        <f t="shared" si="7"/>
        <v>49490</v>
      </c>
      <c r="C146" s="10">
        <f t="shared" si="9"/>
        <v>49491</v>
      </c>
      <c r="D146" s="10" cm="1">
        <f t="array" aca="1" ref="D146" ca="1">_xll.nxLibAddTenor(B146,"1BD","F","NewYork")</f>
        <v>49492</v>
      </c>
    </row>
    <row r="147" spans="1:4" x14ac:dyDescent="0.25">
      <c r="A147" s="9">
        <f t="shared" si="8"/>
        <v>145</v>
      </c>
      <c r="B147" s="10">
        <f t="shared" si="7"/>
        <v>49521</v>
      </c>
      <c r="C147" s="10">
        <f t="shared" si="9"/>
        <v>49522</v>
      </c>
      <c r="D147" s="10" cm="1">
        <f t="array" aca="1" ref="D147" ca="1">_xll.nxLibAddTenor(B147,"1BD","F","NewYork")</f>
        <v>49522</v>
      </c>
    </row>
    <row r="148" spans="1:4" x14ac:dyDescent="0.25">
      <c r="A148" s="9">
        <f t="shared" si="8"/>
        <v>146</v>
      </c>
      <c r="B148" s="10">
        <f t="shared" si="7"/>
        <v>49552</v>
      </c>
      <c r="C148" s="10">
        <f t="shared" si="9"/>
        <v>49553</v>
      </c>
      <c r="D148" s="10" cm="1">
        <f t="array" aca="1" ref="D148" ca="1">_xll.nxLibAddTenor(B148,"1BD","F","NewYork")</f>
        <v>49556</v>
      </c>
    </row>
    <row r="149" spans="1:4" x14ac:dyDescent="0.25">
      <c r="A149" s="9">
        <f t="shared" si="8"/>
        <v>147</v>
      </c>
      <c r="B149" s="10">
        <f t="shared" si="7"/>
        <v>49582</v>
      </c>
      <c r="C149" s="10">
        <f t="shared" si="9"/>
        <v>49583</v>
      </c>
      <c r="D149" s="10" cm="1">
        <f t="array" aca="1" ref="D149" ca="1">_xll.nxLibAddTenor(B149,"1BD","F","NewYork")</f>
        <v>49583</v>
      </c>
    </row>
    <row r="150" spans="1:4" x14ac:dyDescent="0.25">
      <c r="A150" s="9">
        <f t="shared" si="8"/>
        <v>148</v>
      </c>
      <c r="B150" s="10">
        <f t="shared" si="7"/>
        <v>49613</v>
      </c>
      <c r="C150" s="10">
        <f t="shared" si="9"/>
        <v>49614</v>
      </c>
      <c r="D150" s="10" cm="1">
        <f t="array" aca="1" ref="D150" ca="1">_xll.nxLibAddTenor(B150,"1BD","F","NewYork")</f>
        <v>49614</v>
      </c>
    </row>
    <row r="151" spans="1:4" x14ac:dyDescent="0.25">
      <c r="A151" s="9">
        <f t="shared" si="8"/>
        <v>149</v>
      </c>
      <c r="B151" s="10">
        <f t="shared" si="7"/>
        <v>49643</v>
      </c>
      <c r="C151" s="10">
        <f t="shared" si="9"/>
        <v>49644</v>
      </c>
      <c r="D151" s="10" cm="1">
        <f t="array" aca="1" ref="D151" ca="1">_xll.nxLibAddTenor(B151,"1BD","F","NewYork")</f>
        <v>49646</v>
      </c>
    </row>
    <row r="152" spans="1:4" x14ac:dyDescent="0.25">
      <c r="A152" s="9">
        <f t="shared" si="8"/>
        <v>150</v>
      </c>
      <c r="B152" s="10">
        <f t="shared" si="7"/>
        <v>49674</v>
      </c>
      <c r="C152" s="10">
        <f t="shared" si="9"/>
        <v>49675</v>
      </c>
      <c r="D152" s="10" cm="1">
        <f t="array" aca="1" ref="D152" ca="1">_xll.nxLibAddTenor(B152,"1BD","F","NewYork")</f>
        <v>49676</v>
      </c>
    </row>
    <row r="153" spans="1:4" x14ac:dyDescent="0.25">
      <c r="A153" s="9">
        <f t="shared" si="8"/>
        <v>151</v>
      </c>
      <c r="B153" s="10">
        <f t="shared" si="7"/>
        <v>49705</v>
      </c>
      <c r="C153" s="10">
        <f t="shared" si="9"/>
        <v>49706</v>
      </c>
      <c r="D153" s="10" cm="1">
        <f t="array" aca="1" ref="D153" ca="1">_xll.nxLibAddTenor(B153,"1BD","F","NewYork")</f>
        <v>49706</v>
      </c>
    </row>
    <row r="154" spans="1:4" x14ac:dyDescent="0.25">
      <c r="A154" s="9">
        <f t="shared" si="8"/>
        <v>152</v>
      </c>
      <c r="B154" s="10">
        <f t="shared" si="7"/>
        <v>49734</v>
      </c>
      <c r="C154" s="10">
        <f t="shared" si="9"/>
        <v>49735</v>
      </c>
      <c r="D154" s="10" cm="1">
        <f t="array" aca="1" ref="D154" ca="1">_xll.nxLibAddTenor(B154,"1BD","F","NewYork")</f>
        <v>49737</v>
      </c>
    </row>
    <row r="155" spans="1:4" x14ac:dyDescent="0.25">
      <c r="A155" s="9">
        <f t="shared" si="8"/>
        <v>153</v>
      </c>
      <c r="B155" s="10">
        <f t="shared" si="7"/>
        <v>49765</v>
      </c>
      <c r="C155" s="10">
        <f t="shared" si="9"/>
        <v>49766</v>
      </c>
      <c r="D155" s="10" cm="1">
        <f t="array" aca="1" ref="D155" ca="1">_xll.nxLibAddTenor(B155,"1BD","F","NewYork")</f>
        <v>49766</v>
      </c>
    </row>
    <row r="156" spans="1:4" x14ac:dyDescent="0.25">
      <c r="A156" s="9">
        <f t="shared" si="8"/>
        <v>154</v>
      </c>
      <c r="B156" s="10">
        <f t="shared" si="7"/>
        <v>49795</v>
      </c>
      <c r="C156" s="10">
        <f t="shared" si="9"/>
        <v>49796</v>
      </c>
      <c r="D156" s="10" cm="1">
        <f t="array" aca="1" ref="D156" ca="1">_xll.nxLibAddTenor(B156,"1BD","F","NewYork")</f>
        <v>49796</v>
      </c>
    </row>
    <row r="157" spans="1:4" x14ac:dyDescent="0.25">
      <c r="A157" s="9">
        <f t="shared" si="8"/>
        <v>155</v>
      </c>
      <c r="B157" s="10">
        <f t="shared" si="7"/>
        <v>49826</v>
      </c>
      <c r="C157" s="10">
        <f t="shared" si="9"/>
        <v>49827</v>
      </c>
      <c r="D157" s="10" cm="1">
        <f t="array" aca="1" ref="D157" ca="1">_xll.nxLibAddTenor(B157,"1BD","F","NewYork")</f>
        <v>49828</v>
      </c>
    </row>
    <row r="158" spans="1:4" x14ac:dyDescent="0.25">
      <c r="A158" s="9">
        <f t="shared" si="8"/>
        <v>156</v>
      </c>
      <c r="B158" s="10">
        <f t="shared" si="7"/>
        <v>49856</v>
      </c>
      <c r="C158" s="10">
        <f t="shared" si="9"/>
        <v>49857</v>
      </c>
      <c r="D158" s="10" cm="1">
        <f t="array" aca="1" ref="D158" ca="1">_xll.nxLibAddTenor(B158,"1BD","F","NewYork")</f>
        <v>49857</v>
      </c>
    </row>
    <row r="159" spans="1:4" x14ac:dyDescent="0.25">
      <c r="A159" s="9">
        <f t="shared" si="8"/>
        <v>157</v>
      </c>
      <c r="B159" s="10">
        <f t="shared" si="7"/>
        <v>49887</v>
      </c>
      <c r="C159" s="10">
        <f t="shared" si="9"/>
        <v>49888</v>
      </c>
      <c r="D159" s="10" cm="1">
        <f t="array" aca="1" ref="D159" ca="1">_xll.nxLibAddTenor(B159,"1BD","F","NewYork")</f>
        <v>49888</v>
      </c>
    </row>
    <row r="160" spans="1:4" x14ac:dyDescent="0.25">
      <c r="A160" s="9">
        <f t="shared" si="8"/>
        <v>158</v>
      </c>
      <c r="B160" s="10">
        <f t="shared" si="7"/>
        <v>49918</v>
      </c>
      <c r="C160" s="10">
        <f t="shared" si="9"/>
        <v>49919</v>
      </c>
      <c r="D160" s="10" cm="1">
        <f t="array" aca="1" ref="D160" ca="1">_xll.nxLibAddTenor(B160,"1BD","F","NewYork")</f>
        <v>49920</v>
      </c>
    </row>
    <row r="161" spans="1:4" x14ac:dyDescent="0.25">
      <c r="A161" s="9">
        <f t="shared" si="8"/>
        <v>159</v>
      </c>
      <c r="B161" s="10">
        <f t="shared" si="7"/>
        <v>49948</v>
      </c>
      <c r="C161" s="10">
        <f t="shared" si="9"/>
        <v>49949</v>
      </c>
      <c r="D161" s="10" cm="1">
        <f t="array" aca="1" ref="D161" ca="1">_xll.nxLibAddTenor(B161,"1BD","F","NewYork")</f>
        <v>49949</v>
      </c>
    </row>
    <row r="162" spans="1:4" x14ac:dyDescent="0.25">
      <c r="A162" s="9">
        <f t="shared" si="8"/>
        <v>160</v>
      </c>
      <c r="B162" s="10">
        <f t="shared" si="7"/>
        <v>49979</v>
      </c>
      <c r="C162" s="10">
        <f t="shared" si="9"/>
        <v>49980</v>
      </c>
      <c r="D162" s="10" cm="1">
        <f t="array" aca="1" ref="D162" ca="1">_xll.nxLibAddTenor(B162,"1BD","F","NewYork")</f>
        <v>49982</v>
      </c>
    </row>
    <row r="163" spans="1:4" x14ac:dyDescent="0.25">
      <c r="A163" s="9">
        <f t="shared" si="8"/>
        <v>161</v>
      </c>
      <c r="B163" s="10">
        <f t="shared" si="7"/>
        <v>50009</v>
      </c>
      <c r="C163" s="10">
        <f t="shared" si="9"/>
        <v>50010</v>
      </c>
      <c r="D163" s="10" cm="1">
        <f t="array" aca="1" ref="D163" ca="1">_xll.nxLibAddTenor(B163,"1BD","F","NewYork")</f>
        <v>50010</v>
      </c>
    </row>
    <row r="164" spans="1:4" x14ac:dyDescent="0.25">
      <c r="A164" s="9">
        <f t="shared" si="8"/>
        <v>162</v>
      </c>
      <c r="B164" s="10">
        <f t="shared" si="7"/>
        <v>50040</v>
      </c>
      <c r="C164" s="10">
        <f t="shared" si="9"/>
        <v>50041</v>
      </c>
      <c r="D164" s="10" cm="1">
        <f t="array" aca="1" ref="D164" ca="1">_xll.nxLibAddTenor(B164,"1BD","F","NewYork")</f>
        <v>50042</v>
      </c>
    </row>
    <row r="165" spans="1:4" x14ac:dyDescent="0.25">
      <c r="A165" s="9">
        <f t="shared" si="8"/>
        <v>163</v>
      </c>
      <c r="B165" s="10">
        <f t="shared" si="7"/>
        <v>50071</v>
      </c>
      <c r="C165" s="10">
        <f t="shared" si="9"/>
        <v>50072</v>
      </c>
      <c r="D165" s="10" cm="1">
        <f t="array" aca="1" ref="D165" ca="1">_xll.nxLibAddTenor(B165,"1BD","F","NewYork")</f>
        <v>50073</v>
      </c>
    </row>
    <row r="166" spans="1:4" x14ac:dyDescent="0.25">
      <c r="A166" s="9">
        <f t="shared" si="8"/>
        <v>164</v>
      </c>
      <c r="B166" s="10">
        <f t="shared" si="7"/>
        <v>50099</v>
      </c>
      <c r="C166" s="10">
        <f t="shared" si="9"/>
        <v>50100</v>
      </c>
      <c r="D166" s="10" cm="1">
        <f t="array" aca="1" ref="D166" ca="1">_xll.nxLibAddTenor(B166,"1BD","F","NewYork")</f>
        <v>50101</v>
      </c>
    </row>
    <row r="167" spans="1:4" x14ac:dyDescent="0.25">
      <c r="A167" s="9">
        <f t="shared" si="8"/>
        <v>165</v>
      </c>
      <c r="B167" s="10">
        <f t="shared" si="7"/>
        <v>50130</v>
      </c>
      <c r="C167" s="10">
        <f t="shared" si="9"/>
        <v>50131</v>
      </c>
      <c r="D167" s="10" cm="1">
        <f t="array" aca="1" ref="D167" ca="1">_xll.nxLibAddTenor(B167,"1BD","F","NewYork")</f>
        <v>50131</v>
      </c>
    </row>
    <row r="168" spans="1:4" x14ac:dyDescent="0.25">
      <c r="A168" s="9">
        <f t="shared" si="8"/>
        <v>166</v>
      </c>
      <c r="B168" s="10">
        <f t="shared" si="7"/>
        <v>50160</v>
      </c>
      <c r="C168" s="10">
        <f t="shared" si="9"/>
        <v>50161</v>
      </c>
      <c r="D168" s="10" cm="1">
        <f t="array" aca="1" ref="D168" ca="1">_xll.nxLibAddTenor(B168,"1BD","F","NewYork")</f>
        <v>50161</v>
      </c>
    </row>
    <row r="169" spans="1:4" x14ac:dyDescent="0.25">
      <c r="A169" s="9">
        <f t="shared" si="8"/>
        <v>167</v>
      </c>
      <c r="B169" s="10">
        <f t="shared" si="7"/>
        <v>50191</v>
      </c>
      <c r="C169" s="10">
        <f t="shared" si="9"/>
        <v>50192</v>
      </c>
      <c r="D169" s="10" cm="1">
        <f t="array" aca="1" ref="D169" ca="1">_xll.nxLibAddTenor(B169,"1BD","F","NewYork")</f>
        <v>50192</v>
      </c>
    </row>
    <row r="170" spans="1:4" x14ac:dyDescent="0.25">
      <c r="A170" s="9">
        <f t="shared" si="8"/>
        <v>168</v>
      </c>
      <c r="B170" s="10">
        <f t="shared" si="7"/>
        <v>50221</v>
      </c>
      <c r="C170" s="10">
        <f t="shared" si="9"/>
        <v>50222</v>
      </c>
      <c r="D170" s="10" cm="1">
        <f t="array" aca="1" ref="D170" ca="1">_xll.nxLibAddTenor(B170,"1BD","F","NewYork")</f>
        <v>50222</v>
      </c>
    </row>
    <row r="171" spans="1:4" x14ac:dyDescent="0.25">
      <c r="A171" s="9">
        <f t="shared" si="8"/>
        <v>169</v>
      </c>
      <c r="B171" s="10">
        <f t="shared" si="7"/>
        <v>50252</v>
      </c>
      <c r="C171" s="10">
        <f t="shared" si="9"/>
        <v>50253</v>
      </c>
      <c r="D171" s="10" cm="1">
        <f t="array" aca="1" ref="D171" ca="1">_xll.nxLibAddTenor(B171,"1BD","F","NewYork")</f>
        <v>50255</v>
      </c>
    </row>
    <row r="172" spans="1:4" x14ac:dyDescent="0.25">
      <c r="A172" s="9">
        <f t="shared" si="8"/>
        <v>170</v>
      </c>
      <c r="B172" s="10">
        <f t="shared" si="7"/>
        <v>50283</v>
      </c>
      <c r="C172" s="10">
        <f t="shared" si="9"/>
        <v>50284</v>
      </c>
      <c r="D172" s="10" cm="1">
        <f t="array" aca="1" ref="D172" ca="1">_xll.nxLibAddTenor(B172,"1BD","F","NewYork")</f>
        <v>50284</v>
      </c>
    </row>
    <row r="173" spans="1:4" x14ac:dyDescent="0.25">
      <c r="A173" s="9">
        <f t="shared" si="8"/>
        <v>171</v>
      </c>
      <c r="B173" s="10">
        <f t="shared" si="7"/>
        <v>50313</v>
      </c>
      <c r="C173" s="10">
        <f t="shared" si="9"/>
        <v>50314</v>
      </c>
      <c r="D173" s="10" cm="1">
        <f t="array" aca="1" ref="D173" ca="1">_xll.nxLibAddTenor(B173,"1BD","F","NewYork")</f>
        <v>50314</v>
      </c>
    </row>
    <row r="174" spans="1:4" x14ac:dyDescent="0.25">
      <c r="A174" s="9">
        <f t="shared" si="8"/>
        <v>172</v>
      </c>
      <c r="B174" s="10">
        <f t="shared" si="7"/>
        <v>50344</v>
      </c>
      <c r="C174" s="10">
        <f t="shared" si="9"/>
        <v>50345</v>
      </c>
      <c r="D174" s="10" cm="1">
        <f t="array" aca="1" ref="D174" ca="1">_xll.nxLibAddTenor(B174,"1BD","F","NewYork")</f>
        <v>50346</v>
      </c>
    </row>
    <row r="175" spans="1:4" x14ac:dyDescent="0.25">
      <c r="A175" s="9">
        <f t="shared" si="8"/>
        <v>173</v>
      </c>
      <c r="B175" s="10">
        <f t="shared" si="7"/>
        <v>50374</v>
      </c>
      <c r="C175" s="10">
        <f t="shared" si="9"/>
        <v>50375</v>
      </c>
      <c r="D175" s="10" cm="1">
        <f t="array" aca="1" ref="D175" ca="1">_xll.nxLibAddTenor(B175,"1BD","F","NewYork")</f>
        <v>50375</v>
      </c>
    </row>
    <row r="176" spans="1:4" x14ac:dyDescent="0.25">
      <c r="A176" s="9">
        <f t="shared" si="8"/>
        <v>174</v>
      </c>
      <c r="B176" s="10">
        <f t="shared" si="7"/>
        <v>50405</v>
      </c>
      <c r="C176" s="10">
        <f t="shared" si="9"/>
        <v>50406</v>
      </c>
      <c r="D176" s="10" cm="1">
        <f t="array" aca="1" ref="D176" ca="1">_xll.nxLibAddTenor(B176,"1BD","F","NewYork")</f>
        <v>50409</v>
      </c>
    </row>
    <row r="177" spans="1:4" x14ac:dyDescent="0.25">
      <c r="A177" s="9">
        <f t="shared" si="8"/>
        <v>175</v>
      </c>
      <c r="B177" s="10">
        <f t="shared" si="7"/>
        <v>50436</v>
      </c>
      <c r="C177" s="10">
        <f t="shared" si="9"/>
        <v>50437</v>
      </c>
      <c r="D177" s="10" cm="1">
        <f t="array" aca="1" ref="D177" ca="1">_xll.nxLibAddTenor(B177,"1BD","F","NewYork")</f>
        <v>50437</v>
      </c>
    </row>
    <row r="178" spans="1:4" x14ac:dyDescent="0.25">
      <c r="A178" s="9">
        <f t="shared" si="8"/>
        <v>176</v>
      </c>
      <c r="B178" s="10">
        <f t="shared" si="7"/>
        <v>50464</v>
      </c>
      <c r="C178" s="10">
        <f t="shared" si="9"/>
        <v>50465</v>
      </c>
      <c r="D178" s="10" cm="1">
        <f t="array" aca="1" ref="D178" ca="1">_xll.nxLibAddTenor(B178,"1BD","F","NewYork")</f>
        <v>50465</v>
      </c>
    </row>
    <row r="179" spans="1:4" x14ac:dyDescent="0.25">
      <c r="A179" s="9">
        <f t="shared" si="8"/>
        <v>177</v>
      </c>
      <c r="B179" s="10">
        <f t="shared" si="7"/>
        <v>50495</v>
      </c>
      <c r="C179" s="10">
        <f t="shared" si="9"/>
        <v>50496</v>
      </c>
      <c r="D179" s="10" cm="1">
        <f t="array" aca="1" ref="D179" ca="1">_xll.nxLibAddTenor(B179,"1BD","F","NewYork")</f>
        <v>50496</v>
      </c>
    </row>
    <row r="180" spans="1:4" x14ac:dyDescent="0.25">
      <c r="A180" s="9">
        <f t="shared" si="8"/>
        <v>178</v>
      </c>
      <c r="B180" s="10">
        <f t="shared" si="7"/>
        <v>50525</v>
      </c>
      <c r="C180" s="10">
        <f t="shared" si="9"/>
        <v>50526</v>
      </c>
      <c r="D180" s="10" cm="1">
        <f t="array" aca="1" ref="D180" ca="1">_xll.nxLibAddTenor(B180,"1BD","F","NewYork")</f>
        <v>50528</v>
      </c>
    </row>
    <row r="181" spans="1:4" x14ac:dyDescent="0.25">
      <c r="A181" s="9">
        <f t="shared" si="8"/>
        <v>179</v>
      </c>
      <c r="B181" s="10">
        <f t="shared" si="7"/>
        <v>50556</v>
      </c>
      <c r="C181" s="10">
        <f t="shared" si="9"/>
        <v>50557</v>
      </c>
      <c r="D181" s="10" cm="1">
        <f t="array" aca="1" ref="D181" ca="1">_xll.nxLibAddTenor(B181,"1BD","F","NewYork")</f>
        <v>50557</v>
      </c>
    </row>
    <row r="182" spans="1:4" x14ac:dyDescent="0.25">
      <c r="A182" s="9">
        <f t="shared" si="8"/>
        <v>180</v>
      </c>
      <c r="B182" s="10">
        <f t="shared" si="7"/>
        <v>50586</v>
      </c>
      <c r="C182" s="10">
        <f t="shared" si="9"/>
        <v>50587</v>
      </c>
      <c r="D182" s="10" cm="1">
        <f t="array" aca="1" ref="D182" ca="1">_xll.nxLibAddTenor(B182,"1BD","F","NewYork")</f>
        <v>50587</v>
      </c>
    </row>
    <row r="183" spans="1:4" x14ac:dyDescent="0.25">
      <c r="A183" s="9">
        <f t="shared" si="8"/>
        <v>181</v>
      </c>
      <c r="B183" s="10">
        <f t="shared" si="7"/>
        <v>50617</v>
      </c>
      <c r="C183" s="10">
        <f t="shared" si="9"/>
        <v>50618</v>
      </c>
      <c r="D183" s="10" cm="1">
        <f t="array" aca="1" ref="D183" ca="1">_xll.nxLibAddTenor(B183,"1BD","F","NewYork")</f>
        <v>50619</v>
      </c>
    </row>
    <row r="184" spans="1:4" x14ac:dyDescent="0.25">
      <c r="A184" s="9">
        <f t="shared" si="8"/>
        <v>182</v>
      </c>
      <c r="B184" s="10">
        <f t="shared" si="7"/>
        <v>50648</v>
      </c>
      <c r="C184" s="10">
        <f t="shared" si="9"/>
        <v>50649</v>
      </c>
      <c r="D184" s="10" cm="1">
        <f t="array" aca="1" ref="D184" ca="1">_xll.nxLibAddTenor(B184,"1BD","F","NewYork")</f>
        <v>50649</v>
      </c>
    </row>
    <row r="185" spans="1:4" x14ac:dyDescent="0.25">
      <c r="A185" s="9">
        <f t="shared" si="8"/>
        <v>183</v>
      </c>
      <c r="B185" s="10">
        <f t="shared" si="7"/>
        <v>50678</v>
      </c>
      <c r="C185" s="10">
        <f t="shared" si="9"/>
        <v>50679</v>
      </c>
      <c r="D185" s="10" cm="1">
        <f t="array" aca="1" ref="D185" ca="1">_xll.nxLibAddTenor(B185,"1BD","F","NewYork")</f>
        <v>50679</v>
      </c>
    </row>
    <row r="186" spans="1:4" x14ac:dyDescent="0.25">
      <c r="A186" s="9">
        <f t="shared" si="8"/>
        <v>184</v>
      </c>
      <c r="B186" s="10">
        <f t="shared" si="7"/>
        <v>50709</v>
      </c>
      <c r="C186" s="10">
        <f t="shared" si="9"/>
        <v>50710</v>
      </c>
      <c r="D186" s="10" cm="1">
        <f t="array" aca="1" ref="D186" ca="1">_xll.nxLibAddTenor(B186,"1BD","F","NewYork")</f>
        <v>50710</v>
      </c>
    </row>
    <row r="187" spans="1:4" x14ac:dyDescent="0.25">
      <c r="A187" s="9">
        <f t="shared" si="8"/>
        <v>185</v>
      </c>
      <c r="B187" s="10">
        <f t="shared" si="7"/>
        <v>50739</v>
      </c>
      <c r="C187" s="10">
        <f t="shared" si="9"/>
        <v>50740</v>
      </c>
      <c r="D187" s="10" cm="1">
        <f t="array" aca="1" ref="D187" ca="1">_xll.nxLibAddTenor(B187,"1BD","F","NewYork")</f>
        <v>50740</v>
      </c>
    </row>
    <row r="188" spans="1:4" x14ac:dyDescent="0.25">
      <c r="A188" s="9">
        <f t="shared" si="8"/>
        <v>186</v>
      </c>
      <c r="B188" s="10">
        <f t="shared" si="7"/>
        <v>50770</v>
      </c>
      <c r="C188" s="10">
        <f t="shared" si="9"/>
        <v>50771</v>
      </c>
      <c r="D188" s="10" cm="1">
        <f t="array" aca="1" ref="D188" ca="1">_xll.nxLibAddTenor(B188,"1BD","F","NewYork")</f>
        <v>50773</v>
      </c>
    </row>
    <row r="189" spans="1:4" x14ac:dyDescent="0.25">
      <c r="A189" s="9">
        <f t="shared" si="8"/>
        <v>187</v>
      </c>
      <c r="B189" s="10">
        <f t="shared" si="7"/>
        <v>50801</v>
      </c>
      <c r="C189" s="10">
        <f t="shared" si="9"/>
        <v>50802</v>
      </c>
      <c r="D189" s="10" cm="1">
        <f t="array" aca="1" ref="D189" ca="1">_xll.nxLibAddTenor(B189,"1BD","F","NewYork")</f>
        <v>50802</v>
      </c>
    </row>
    <row r="190" spans="1:4" x14ac:dyDescent="0.25">
      <c r="A190" s="9">
        <f t="shared" si="8"/>
        <v>188</v>
      </c>
      <c r="B190" s="10">
        <f t="shared" si="7"/>
        <v>50829</v>
      </c>
      <c r="C190" s="10">
        <f t="shared" si="9"/>
        <v>50830</v>
      </c>
      <c r="D190" s="10" cm="1">
        <f t="array" aca="1" ref="D190" ca="1">_xll.nxLibAddTenor(B190,"1BD","F","NewYork")</f>
        <v>50830</v>
      </c>
    </row>
    <row r="191" spans="1:4" x14ac:dyDescent="0.25">
      <c r="A191" s="9">
        <f t="shared" si="8"/>
        <v>189</v>
      </c>
      <c r="B191" s="10">
        <f t="shared" si="7"/>
        <v>50860</v>
      </c>
      <c r="C191" s="10">
        <f t="shared" si="9"/>
        <v>50861</v>
      </c>
      <c r="D191" s="10" cm="1">
        <f t="array" aca="1" ref="D191" ca="1">_xll.nxLibAddTenor(B191,"1BD","F","NewYork")</f>
        <v>50861</v>
      </c>
    </row>
    <row r="192" spans="1:4" x14ac:dyDescent="0.25">
      <c r="A192" s="9">
        <f t="shared" si="8"/>
        <v>190</v>
      </c>
      <c r="B192" s="10">
        <f t="shared" si="7"/>
        <v>50890</v>
      </c>
      <c r="C192" s="10">
        <f t="shared" si="9"/>
        <v>50891</v>
      </c>
      <c r="D192" s="10" cm="1">
        <f t="array" aca="1" ref="D192" ca="1">_xll.nxLibAddTenor(B192,"1BD","F","NewYork")</f>
        <v>50892</v>
      </c>
    </row>
    <row r="193" spans="1:4" x14ac:dyDescent="0.25">
      <c r="A193" s="9">
        <f t="shared" si="8"/>
        <v>191</v>
      </c>
      <c r="B193" s="10">
        <f t="shared" si="7"/>
        <v>50921</v>
      </c>
      <c r="C193" s="10">
        <f t="shared" si="9"/>
        <v>50922</v>
      </c>
      <c r="D193" s="10" cm="1">
        <f t="array" aca="1" ref="D193" ca="1">_xll.nxLibAddTenor(B193,"1BD","F","NewYork")</f>
        <v>50922</v>
      </c>
    </row>
    <row r="194" spans="1:4" x14ac:dyDescent="0.25">
      <c r="A194" s="9">
        <f t="shared" si="8"/>
        <v>192</v>
      </c>
      <c r="B194" s="10">
        <f t="shared" ref="B194:B257" si="10">EOMONTH(StartDt, A194)</f>
        <v>50951</v>
      </c>
      <c r="C194" s="10">
        <f t="shared" si="9"/>
        <v>50952</v>
      </c>
      <c r="D194" s="10" cm="1">
        <f t="array" aca="1" ref="D194" ca="1">_xll.nxLibAddTenor(B194,"1BD","F","NewYork")</f>
        <v>50952</v>
      </c>
    </row>
    <row r="195" spans="1:4" x14ac:dyDescent="0.25">
      <c r="A195" s="9">
        <f t="shared" si="8"/>
        <v>193</v>
      </c>
      <c r="B195" s="10">
        <f t="shared" si="10"/>
        <v>50982</v>
      </c>
      <c r="C195" s="10">
        <f t="shared" si="9"/>
        <v>50983</v>
      </c>
      <c r="D195" s="10" cm="1">
        <f t="array" aca="1" ref="D195" ca="1">_xll.nxLibAddTenor(B195,"1BD","F","NewYork")</f>
        <v>50983</v>
      </c>
    </row>
    <row r="196" spans="1:4" x14ac:dyDescent="0.25">
      <c r="A196" s="9">
        <f t="shared" ref="A196:A259" si="11">1+A195</f>
        <v>194</v>
      </c>
      <c r="B196" s="10">
        <f t="shared" si="10"/>
        <v>51013</v>
      </c>
      <c r="C196" s="10">
        <f t="shared" ref="C196:C259" si="12">B196+1</f>
        <v>51014</v>
      </c>
      <c r="D196" s="10" cm="1">
        <f t="array" aca="1" ref="D196" ca="1">_xll.nxLibAddTenor(B196,"1BD","F","NewYork")</f>
        <v>51014</v>
      </c>
    </row>
    <row r="197" spans="1:4" x14ac:dyDescent="0.25">
      <c r="A197" s="9">
        <f t="shared" si="11"/>
        <v>195</v>
      </c>
      <c r="B197" s="10">
        <f t="shared" si="10"/>
        <v>51043</v>
      </c>
      <c r="C197" s="10">
        <f t="shared" si="12"/>
        <v>51044</v>
      </c>
      <c r="D197" s="10" cm="1">
        <f t="array" aca="1" ref="D197" ca="1">_xll.nxLibAddTenor(B197,"1BD","F","NewYork")</f>
        <v>51046</v>
      </c>
    </row>
    <row r="198" spans="1:4" x14ac:dyDescent="0.25">
      <c r="A198" s="9">
        <f t="shared" si="11"/>
        <v>196</v>
      </c>
      <c r="B198" s="10">
        <f t="shared" si="10"/>
        <v>51074</v>
      </c>
      <c r="C198" s="10">
        <f t="shared" si="12"/>
        <v>51075</v>
      </c>
      <c r="D198" s="10" cm="1">
        <f t="array" aca="1" ref="D198" ca="1">_xll.nxLibAddTenor(B198,"1BD","F","NewYork")</f>
        <v>51075</v>
      </c>
    </row>
    <row r="199" spans="1:4" x14ac:dyDescent="0.25">
      <c r="A199" s="9">
        <f t="shared" si="11"/>
        <v>197</v>
      </c>
      <c r="B199" s="10">
        <f t="shared" si="10"/>
        <v>51104</v>
      </c>
      <c r="C199" s="10">
        <f t="shared" si="12"/>
        <v>51105</v>
      </c>
      <c r="D199" s="10" cm="1">
        <f t="array" aca="1" ref="D199" ca="1">_xll.nxLibAddTenor(B199,"1BD","F","NewYork")</f>
        <v>51105</v>
      </c>
    </row>
    <row r="200" spans="1:4" x14ac:dyDescent="0.25">
      <c r="A200" s="9">
        <f t="shared" si="11"/>
        <v>198</v>
      </c>
      <c r="B200" s="10">
        <f t="shared" si="10"/>
        <v>51135</v>
      </c>
      <c r="C200" s="10">
        <f t="shared" si="12"/>
        <v>51136</v>
      </c>
      <c r="D200" s="10" cm="1">
        <f t="array" aca="1" ref="D200" ca="1">_xll.nxLibAddTenor(B200,"1BD","F","NewYork")</f>
        <v>51138</v>
      </c>
    </row>
    <row r="201" spans="1:4" x14ac:dyDescent="0.25">
      <c r="A201" s="9">
        <f t="shared" si="11"/>
        <v>199</v>
      </c>
      <c r="B201" s="10">
        <f t="shared" si="10"/>
        <v>51166</v>
      </c>
      <c r="C201" s="10">
        <f t="shared" si="12"/>
        <v>51167</v>
      </c>
      <c r="D201" s="10" cm="1">
        <f t="array" aca="1" ref="D201" ca="1">_xll.nxLibAddTenor(B201,"1BD","F","NewYork")</f>
        <v>51167</v>
      </c>
    </row>
    <row r="202" spans="1:4" x14ac:dyDescent="0.25">
      <c r="A202" s="9">
        <f t="shared" si="11"/>
        <v>200</v>
      </c>
      <c r="B202" s="10">
        <f t="shared" si="10"/>
        <v>51195</v>
      </c>
      <c r="C202" s="10">
        <f t="shared" si="12"/>
        <v>51196</v>
      </c>
      <c r="D202" s="10" cm="1">
        <f t="array" aca="1" ref="D202" ca="1">_xll.nxLibAddTenor(B202,"1BD","F","NewYork")</f>
        <v>51196</v>
      </c>
    </row>
    <row r="203" spans="1:4" x14ac:dyDescent="0.25">
      <c r="A203" s="9">
        <f t="shared" si="11"/>
        <v>201</v>
      </c>
      <c r="B203" s="10">
        <f t="shared" si="10"/>
        <v>51226</v>
      </c>
      <c r="C203" s="10">
        <f t="shared" si="12"/>
        <v>51227</v>
      </c>
      <c r="D203" s="10" cm="1">
        <f t="array" aca="1" ref="D203" ca="1">_xll.nxLibAddTenor(B203,"1BD","F","NewYork")</f>
        <v>51228</v>
      </c>
    </row>
    <row r="204" spans="1:4" x14ac:dyDescent="0.25">
      <c r="A204" s="9">
        <f t="shared" si="11"/>
        <v>202</v>
      </c>
      <c r="B204" s="10">
        <f t="shared" si="10"/>
        <v>51256</v>
      </c>
      <c r="C204" s="10">
        <f t="shared" si="12"/>
        <v>51257</v>
      </c>
      <c r="D204" s="10" cm="1">
        <f t="array" aca="1" ref="D204" ca="1">_xll.nxLibAddTenor(B204,"1BD","F","NewYork")</f>
        <v>51257</v>
      </c>
    </row>
    <row r="205" spans="1:4" x14ac:dyDescent="0.25">
      <c r="A205" s="9">
        <f t="shared" si="11"/>
        <v>203</v>
      </c>
      <c r="B205" s="10">
        <f t="shared" si="10"/>
        <v>51287</v>
      </c>
      <c r="C205" s="10">
        <f t="shared" si="12"/>
        <v>51288</v>
      </c>
      <c r="D205" s="10" cm="1">
        <f t="array" aca="1" ref="D205" ca="1">_xll.nxLibAddTenor(B205,"1BD","F","NewYork")</f>
        <v>51288</v>
      </c>
    </row>
    <row r="206" spans="1:4" x14ac:dyDescent="0.25">
      <c r="A206" s="9">
        <f t="shared" si="11"/>
        <v>204</v>
      </c>
      <c r="B206" s="10">
        <f t="shared" si="10"/>
        <v>51317</v>
      </c>
      <c r="C206" s="10">
        <f t="shared" si="12"/>
        <v>51318</v>
      </c>
      <c r="D206" s="10" cm="1">
        <f t="array" aca="1" ref="D206" ca="1">_xll.nxLibAddTenor(B206,"1BD","F","NewYork")</f>
        <v>51319</v>
      </c>
    </row>
    <row r="207" spans="1:4" x14ac:dyDescent="0.25">
      <c r="A207" s="9">
        <f t="shared" si="11"/>
        <v>205</v>
      </c>
      <c r="B207" s="10">
        <f t="shared" si="10"/>
        <v>51348</v>
      </c>
      <c r="C207" s="10">
        <f t="shared" si="12"/>
        <v>51349</v>
      </c>
      <c r="D207" s="10" cm="1">
        <f t="array" aca="1" ref="D207" ca="1">_xll.nxLibAddTenor(B207,"1BD","F","NewYork")</f>
        <v>51349</v>
      </c>
    </row>
    <row r="208" spans="1:4" x14ac:dyDescent="0.25">
      <c r="A208" s="9">
        <f t="shared" si="11"/>
        <v>206</v>
      </c>
      <c r="B208" s="10">
        <f t="shared" si="10"/>
        <v>51379</v>
      </c>
      <c r="C208" s="10">
        <f t="shared" si="12"/>
        <v>51380</v>
      </c>
      <c r="D208" s="10" cm="1">
        <f t="array" aca="1" ref="D208" ca="1">_xll.nxLibAddTenor(B208,"1BD","F","NewYork")</f>
        <v>51383</v>
      </c>
    </row>
    <row r="209" spans="1:4" x14ac:dyDescent="0.25">
      <c r="A209" s="9">
        <f t="shared" si="11"/>
        <v>207</v>
      </c>
      <c r="B209" s="10">
        <f t="shared" si="10"/>
        <v>51409</v>
      </c>
      <c r="C209" s="10">
        <f t="shared" si="12"/>
        <v>51410</v>
      </c>
      <c r="D209" s="10" cm="1">
        <f t="array" aca="1" ref="D209" ca="1">_xll.nxLibAddTenor(B209,"1BD","F","NewYork")</f>
        <v>51410</v>
      </c>
    </row>
    <row r="210" spans="1:4" x14ac:dyDescent="0.25">
      <c r="A210" s="9">
        <f t="shared" si="11"/>
        <v>208</v>
      </c>
      <c r="B210" s="10">
        <f t="shared" si="10"/>
        <v>51440</v>
      </c>
      <c r="C210" s="10">
        <f t="shared" si="12"/>
        <v>51441</v>
      </c>
      <c r="D210" s="10" cm="1">
        <f t="array" aca="1" ref="D210" ca="1">_xll.nxLibAddTenor(B210,"1BD","F","NewYork")</f>
        <v>51441</v>
      </c>
    </row>
    <row r="211" spans="1:4" x14ac:dyDescent="0.25">
      <c r="A211" s="9">
        <f t="shared" si="11"/>
        <v>209</v>
      </c>
      <c r="B211" s="10">
        <f t="shared" si="10"/>
        <v>51470</v>
      </c>
      <c r="C211" s="10">
        <f t="shared" si="12"/>
        <v>51471</v>
      </c>
      <c r="D211" s="10" cm="1">
        <f t="array" aca="1" ref="D211" ca="1">_xll.nxLibAddTenor(B211,"1BD","F","NewYork")</f>
        <v>51473</v>
      </c>
    </row>
    <row r="212" spans="1:4" x14ac:dyDescent="0.25">
      <c r="A212" s="9">
        <f t="shared" si="11"/>
        <v>210</v>
      </c>
      <c r="B212" s="10">
        <f t="shared" si="10"/>
        <v>51501</v>
      </c>
      <c r="C212" s="10">
        <f t="shared" si="12"/>
        <v>51502</v>
      </c>
      <c r="D212" s="10" cm="1">
        <f t="array" aca="1" ref="D212" ca="1">_xll.nxLibAddTenor(B212,"1BD","F","NewYork")</f>
        <v>51503</v>
      </c>
    </row>
    <row r="213" spans="1:4" x14ac:dyDescent="0.25">
      <c r="A213" s="9">
        <f t="shared" si="11"/>
        <v>211</v>
      </c>
      <c r="B213" s="10">
        <f t="shared" si="10"/>
        <v>51532</v>
      </c>
      <c r="C213" s="10">
        <f t="shared" si="12"/>
        <v>51533</v>
      </c>
      <c r="D213" s="10" cm="1">
        <f t="array" aca="1" ref="D213" ca="1">_xll.nxLibAddTenor(B213,"1BD","F","NewYork")</f>
        <v>51533</v>
      </c>
    </row>
    <row r="214" spans="1:4" x14ac:dyDescent="0.25">
      <c r="A214" s="9">
        <f t="shared" si="11"/>
        <v>212</v>
      </c>
      <c r="B214" s="10">
        <f t="shared" si="10"/>
        <v>51560</v>
      </c>
      <c r="C214" s="10">
        <f t="shared" si="12"/>
        <v>51561</v>
      </c>
      <c r="D214" s="10" cm="1">
        <f t="array" aca="1" ref="D214" ca="1">_xll.nxLibAddTenor(B214,"1BD","F","NewYork")</f>
        <v>51561</v>
      </c>
    </row>
    <row r="215" spans="1:4" x14ac:dyDescent="0.25">
      <c r="A215" s="9">
        <f t="shared" si="11"/>
        <v>213</v>
      </c>
      <c r="B215" s="10">
        <f t="shared" si="10"/>
        <v>51591</v>
      </c>
      <c r="C215" s="10">
        <f t="shared" si="12"/>
        <v>51592</v>
      </c>
      <c r="D215" s="10" cm="1">
        <f t="array" aca="1" ref="D215" ca="1">_xll.nxLibAddTenor(B215,"1BD","F","NewYork")</f>
        <v>51592</v>
      </c>
    </row>
    <row r="216" spans="1:4" x14ac:dyDescent="0.25">
      <c r="A216" s="9">
        <f t="shared" si="11"/>
        <v>214</v>
      </c>
      <c r="B216" s="10">
        <f t="shared" si="10"/>
        <v>51621</v>
      </c>
      <c r="C216" s="10">
        <f t="shared" si="12"/>
        <v>51622</v>
      </c>
      <c r="D216" s="10" cm="1">
        <f t="array" aca="1" ref="D216" ca="1">_xll.nxLibAddTenor(B216,"1BD","F","NewYork")</f>
        <v>51622</v>
      </c>
    </row>
    <row r="217" spans="1:4" x14ac:dyDescent="0.25">
      <c r="A217" s="9">
        <f t="shared" si="11"/>
        <v>215</v>
      </c>
      <c r="B217" s="10">
        <f t="shared" si="10"/>
        <v>51652</v>
      </c>
      <c r="C217" s="10">
        <f t="shared" si="12"/>
        <v>51653</v>
      </c>
      <c r="D217" s="10" cm="1">
        <f t="array" aca="1" ref="D217" ca="1">_xll.nxLibAddTenor(B217,"1BD","F","NewYork")</f>
        <v>51655</v>
      </c>
    </row>
    <row r="218" spans="1:4" x14ac:dyDescent="0.25">
      <c r="A218" s="9">
        <f t="shared" si="11"/>
        <v>216</v>
      </c>
      <c r="B218" s="10">
        <f t="shared" si="10"/>
        <v>51682</v>
      </c>
      <c r="C218" s="10">
        <f t="shared" si="12"/>
        <v>51683</v>
      </c>
      <c r="D218" s="10" cm="1">
        <f t="array" aca="1" ref="D218" ca="1">_xll.nxLibAddTenor(B218,"1BD","F","NewYork")</f>
        <v>51683</v>
      </c>
    </row>
    <row r="219" spans="1:4" x14ac:dyDescent="0.25">
      <c r="A219" s="9">
        <f t="shared" si="11"/>
        <v>217</v>
      </c>
      <c r="B219" s="10">
        <f t="shared" si="10"/>
        <v>51713</v>
      </c>
      <c r="C219" s="10">
        <f t="shared" si="12"/>
        <v>51714</v>
      </c>
      <c r="D219" s="10" cm="1">
        <f t="array" aca="1" ref="D219" ca="1">_xll.nxLibAddTenor(B219,"1BD","F","NewYork")</f>
        <v>51714</v>
      </c>
    </row>
    <row r="220" spans="1:4" x14ac:dyDescent="0.25">
      <c r="A220" s="9">
        <f t="shared" si="11"/>
        <v>218</v>
      </c>
      <c r="B220" s="10">
        <f t="shared" si="10"/>
        <v>51744</v>
      </c>
      <c r="C220" s="10">
        <f t="shared" si="12"/>
        <v>51745</v>
      </c>
      <c r="D220" s="10" cm="1">
        <f t="array" aca="1" ref="D220" ca="1">_xll.nxLibAddTenor(B220,"1BD","F","NewYork")</f>
        <v>51747</v>
      </c>
    </row>
    <row r="221" spans="1:4" x14ac:dyDescent="0.25">
      <c r="A221" s="9">
        <f t="shared" si="11"/>
        <v>219</v>
      </c>
      <c r="B221" s="10">
        <f t="shared" si="10"/>
        <v>51774</v>
      </c>
      <c r="C221" s="10">
        <f t="shared" si="12"/>
        <v>51775</v>
      </c>
      <c r="D221" s="10" cm="1">
        <f t="array" aca="1" ref="D221" ca="1">_xll.nxLibAddTenor(B221,"1BD","F","NewYork")</f>
        <v>51775</v>
      </c>
    </row>
    <row r="222" spans="1:4" x14ac:dyDescent="0.25">
      <c r="A222" s="9">
        <f t="shared" si="11"/>
        <v>220</v>
      </c>
      <c r="B222" s="10">
        <f t="shared" si="10"/>
        <v>51805</v>
      </c>
      <c r="C222" s="10">
        <f t="shared" si="12"/>
        <v>51806</v>
      </c>
      <c r="D222" s="10" cm="1">
        <f t="array" aca="1" ref="D222" ca="1">_xll.nxLibAddTenor(B222,"1BD","F","NewYork")</f>
        <v>51806</v>
      </c>
    </row>
    <row r="223" spans="1:4" x14ac:dyDescent="0.25">
      <c r="A223" s="9">
        <f t="shared" si="11"/>
        <v>221</v>
      </c>
      <c r="B223" s="10">
        <f t="shared" si="10"/>
        <v>51835</v>
      </c>
      <c r="C223" s="10">
        <f t="shared" si="12"/>
        <v>51836</v>
      </c>
      <c r="D223" s="10" cm="1">
        <f t="array" aca="1" ref="D223" ca="1">_xll.nxLibAddTenor(B223,"1BD","F","NewYork")</f>
        <v>51837</v>
      </c>
    </row>
    <row r="224" spans="1:4" x14ac:dyDescent="0.25">
      <c r="A224" s="9">
        <f t="shared" si="11"/>
        <v>222</v>
      </c>
      <c r="B224" s="10">
        <f t="shared" si="10"/>
        <v>51866</v>
      </c>
      <c r="C224" s="10">
        <f t="shared" si="12"/>
        <v>51867</v>
      </c>
      <c r="D224" s="10" cm="1">
        <f t="array" aca="1" ref="D224" ca="1">_xll.nxLibAddTenor(B224,"1BD","F","NewYork")</f>
        <v>51868</v>
      </c>
    </row>
    <row r="225" spans="1:4" x14ac:dyDescent="0.25">
      <c r="A225" s="9">
        <f t="shared" si="11"/>
        <v>223</v>
      </c>
      <c r="B225" s="10">
        <f t="shared" si="10"/>
        <v>51897</v>
      </c>
      <c r="C225" s="10">
        <f t="shared" si="12"/>
        <v>51898</v>
      </c>
      <c r="D225" s="10" cm="1">
        <f t="array" aca="1" ref="D225" ca="1">_xll.nxLibAddTenor(B225,"1BD","F","NewYork")</f>
        <v>51900</v>
      </c>
    </row>
    <row r="226" spans="1:4" x14ac:dyDescent="0.25">
      <c r="A226" s="9">
        <f t="shared" si="11"/>
        <v>224</v>
      </c>
      <c r="B226" s="10">
        <f t="shared" si="10"/>
        <v>51925</v>
      </c>
      <c r="C226" s="10">
        <f t="shared" si="12"/>
        <v>51926</v>
      </c>
      <c r="D226" s="10" cm="1">
        <f t="array" aca="1" ref="D226" ca="1">_xll.nxLibAddTenor(B226,"1BD","F","NewYork")</f>
        <v>51928</v>
      </c>
    </row>
    <row r="227" spans="1:4" x14ac:dyDescent="0.25">
      <c r="A227" s="9">
        <f t="shared" si="11"/>
        <v>225</v>
      </c>
      <c r="B227" s="10">
        <f t="shared" si="10"/>
        <v>51956</v>
      </c>
      <c r="C227" s="10">
        <f t="shared" si="12"/>
        <v>51957</v>
      </c>
      <c r="D227" s="10" cm="1">
        <f t="array" aca="1" ref="D227" ca="1">_xll.nxLibAddTenor(B227,"1BD","F","NewYork")</f>
        <v>51957</v>
      </c>
    </row>
    <row r="228" spans="1:4" x14ac:dyDescent="0.25">
      <c r="A228" s="9">
        <f t="shared" si="11"/>
        <v>226</v>
      </c>
      <c r="B228" s="10">
        <f t="shared" si="10"/>
        <v>51986</v>
      </c>
      <c r="C228" s="10">
        <f t="shared" si="12"/>
        <v>51987</v>
      </c>
      <c r="D228" s="10" cm="1">
        <f t="array" aca="1" ref="D228" ca="1">_xll.nxLibAddTenor(B228,"1BD","F","NewYork")</f>
        <v>51987</v>
      </c>
    </row>
    <row r="229" spans="1:4" x14ac:dyDescent="0.25">
      <c r="A229" s="9">
        <f t="shared" si="11"/>
        <v>227</v>
      </c>
      <c r="B229" s="10">
        <f t="shared" si="10"/>
        <v>52017</v>
      </c>
      <c r="C229" s="10">
        <f t="shared" si="12"/>
        <v>52018</v>
      </c>
      <c r="D229" s="10" cm="1">
        <f t="array" aca="1" ref="D229" ca="1">_xll.nxLibAddTenor(B229,"1BD","F","NewYork")</f>
        <v>52019</v>
      </c>
    </row>
    <row r="230" spans="1:4" x14ac:dyDescent="0.25">
      <c r="A230" s="9">
        <f t="shared" si="11"/>
        <v>228</v>
      </c>
      <c r="B230" s="10">
        <f t="shared" si="10"/>
        <v>52047</v>
      </c>
      <c r="C230" s="10">
        <f t="shared" si="12"/>
        <v>52048</v>
      </c>
      <c r="D230" s="10" cm="1">
        <f t="array" aca="1" ref="D230" ca="1">_xll.nxLibAddTenor(B230,"1BD","F","NewYork")</f>
        <v>52048</v>
      </c>
    </row>
    <row r="231" spans="1:4" x14ac:dyDescent="0.25">
      <c r="A231" s="9">
        <f t="shared" si="11"/>
        <v>229</v>
      </c>
      <c r="B231" s="10">
        <f t="shared" si="10"/>
        <v>52078</v>
      </c>
      <c r="C231" s="10">
        <f t="shared" si="12"/>
        <v>52079</v>
      </c>
      <c r="D231" s="10" cm="1">
        <f t="array" aca="1" ref="D231" ca="1">_xll.nxLibAddTenor(B231,"1BD","F","NewYork")</f>
        <v>52079</v>
      </c>
    </row>
    <row r="232" spans="1:4" x14ac:dyDescent="0.25">
      <c r="A232" s="9">
        <f t="shared" si="11"/>
        <v>230</v>
      </c>
      <c r="B232" s="10">
        <f t="shared" si="10"/>
        <v>52109</v>
      </c>
      <c r="C232" s="10">
        <f t="shared" si="12"/>
        <v>52110</v>
      </c>
      <c r="D232" s="10" cm="1">
        <f t="array" aca="1" ref="D232" ca="1">_xll.nxLibAddTenor(B232,"1BD","F","NewYork")</f>
        <v>52111</v>
      </c>
    </row>
    <row r="233" spans="1:4" x14ac:dyDescent="0.25">
      <c r="A233" s="9">
        <f t="shared" si="11"/>
        <v>231</v>
      </c>
      <c r="B233" s="10">
        <f t="shared" si="10"/>
        <v>52139</v>
      </c>
      <c r="C233" s="10">
        <f t="shared" si="12"/>
        <v>52140</v>
      </c>
      <c r="D233" s="10" cm="1">
        <f t="array" aca="1" ref="D233" ca="1">_xll.nxLibAddTenor(B233,"1BD","F","NewYork")</f>
        <v>52140</v>
      </c>
    </row>
    <row r="234" spans="1:4" x14ac:dyDescent="0.25">
      <c r="A234" s="9">
        <f t="shared" si="11"/>
        <v>232</v>
      </c>
      <c r="B234" s="10">
        <f t="shared" si="10"/>
        <v>52170</v>
      </c>
      <c r="C234" s="10">
        <f t="shared" si="12"/>
        <v>52171</v>
      </c>
      <c r="D234" s="10" cm="1">
        <f t="array" aca="1" ref="D234" ca="1">_xll.nxLibAddTenor(B234,"1BD","F","NewYork")</f>
        <v>52173</v>
      </c>
    </row>
    <row r="235" spans="1:4" x14ac:dyDescent="0.25">
      <c r="A235" s="9">
        <f t="shared" si="11"/>
        <v>233</v>
      </c>
      <c r="B235" s="10">
        <f t="shared" si="10"/>
        <v>52200</v>
      </c>
      <c r="C235" s="10">
        <f t="shared" si="12"/>
        <v>52201</v>
      </c>
      <c r="D235" s="10" cm="1">
        <f t="array" aca="1" ref="D235" ca="1">_xll.nxLibAddTenor(B235,"1BD","F","NewYork")</f>
        <v>52201</v>
      </c>
    </row>
    <row r="236" spans="1:4" x14ac:dyDescent="0.25">
      <c r="A236" s="9">
        <f t="shared" si="11"/>
        <v>234</v>
      </c>
      <c r="B236" s="10">
        <f t="shared" si="10"/>
        <v>52231</v>
      </c>
      <c r="C236" s="10">
        <f t="shared" si="12"/>
        <v>52232</v>
      </c>
      <c r="D236" s="10" cm="1">
        <f t="array" aca="1" ref="D236" ca="1">_xll.nxLibAddTenor(B236,"1BD","F","NewYork")</f>
        <v>52233</v>
      </c>
    </row>
    <row r="237" spans="1:4" x14ac:dyDescent="0.25">
      <c r="A237" s="9">
        <f t="shared" si="11"/>
        <v>235</v>
      </c>
      <c r="B237" s="10">
        <f t="shared" si="10"/>
        <v>52262</v>
      </c>
      <c r="C237" s="10">
        <f t="shared" si="12"/>
        <v>52263</v>
      </c>
      <c r="D237" s="10" cm="1">
        <f t="array" aca="1" ref="D237" ca="1">_xll.nxLibAddTenor(B237,"1BD","F","NewYork")</f>
        <v>52264</v>
      </c>
    </row>
    <row r="238" spans="1:4" x14ac:dyDescent="0.25">
      <c r="A238" s="9">
        <f t="shared" si="11"/>
        <v>236</v>
      </c>
      <c r="B238" s="10">
        <f t="shared" si="10"/>
        <v>52290</v>
      </c>
      <c r="C238" s="10">
        <f t="shared" si="12"/>
        <v>52291</v>
      </c>
      <c r="D238" s="10" cm="1">
        <f t="array" aca="1" ref="D238" ca="1">_xll.nxLibAddTenor(B238,"1BD","F","NewYork")</f>
        <v>52292</v>
      </c>
    </row>
    <row r="239" spans="1:4" x14ac:dyDescent="0.25">
      <c r="A239" s="9">
        <f t="shared" si="11"/>
        <v>237</v>
      </c>
      <c r="B239" s="10">
        <f t="shared" si="10"/>
        <v>52321</v>
      </c>
      <c r="C239" s="10">
        <f t="shared" si="12"/>
        <v>52322</v>
      </c>
      <c r="D239" s="10" cm="1">
        <f t="array" aca="1" ref="D239" ca="1">_xll.nxLibAddTenor(B239,"1BD","F","NewYork")</f>
        <v>52322</v>
      </c>
    </row>
    <row r="240" spans="1:4" x14ac:dyDescent="0.25">
      <c r="A240" s="9">
        <f t="shared" si="11"/>
        <v>238</v>
      </c>
      <c r="B240" s="10">
        <f t="shared" si="10"/>
        <v>52351</v>
      </c>
      <c r="C240" s="10">
        <f t="shared" si="12"/>
        <v>52352</v>
      </c>
      <c r="D240" s="10" cm="1">
        <f t="array" aca="1" ref="D240" ca="1">_xll.nxLibAddTenor(B240,"1BD","F","NewYork")</f>
        <v>52352</v>
      </c>
    </row>
    <row r="241" spans="1:4" x14ac:dyDescent="0.25">
      <c r="A241" s="9">
        <f t="shared" si="11"/>
        <v>239</v>
      </c>
      <c r="B241" s="10">
        <f t="shared" si="10"/>
        <v>52382</v>
      </c>
      <c r="C241" s="10">
        <f t="shared" si="12"/>
        <v>52383</v>
      </c>
      <c r="D241" s="10" cm="1">
        <f t="array" aca="1" ref="D241" ca="1">_xll.nxLibAddTenor(B241,"1BD","F","NewYork")</f>
        <v>52383</v>
      </c>
    </row>
    <row r="242" spans="1:4" x14ac:dyDescent="0.25">
      <c r="A242" s="9">
        <f t="shared" si="11"/>
        <v>240</v>
      </c>
      <c r="B242" s="10">
        <f t="shared" si="10"/>
        <v>52412</v>
      </c>
      <c r="C242" s="10">
        <f t="shared" si="12"/>
        <v>52413</v>
      </c>
      <c r="D242" s="10" cm="1">
        <f t="array" aca="1" ref="D242" ca="1">_xll.nxLibAddTenor(B242,"1BD","F","NewYork")</f>
        <v>52413</v>
      </c>
    </row>
    <row r="243" spans="1:4" x14ac:dyDescent="0.25">
      <c r="A243" s="9">
        <f t="shared" si="11"/>
        <v>241</v>
      </c>
      <c r="B243" s="10">
        <f t="shared" si="10"/>
        <v>52443</v>
      </c>
      <c r="C243" s="10">
        <f t="shared" si="12"/>
        <v>52444</v>
      </c>
      <c r="D243" s="10" cm="1">
        <f t="array" aca="1" ref="D243" ca="1">_xll.nxLibAddTenor(B243,"1BD","F","NewYork")</f>
        <v>52446</v>
      </c>
    </row>
    <row r="244" spans="1:4" x14ac:dyDescent="0.25">
      <c r="A244" s="9">
        <f t="shared" si="11"/>
        <v>242</v>
      </c>
      <c r="B244" s="10">
        <f t="shared" si="10"/>
        <v>52474</v>
      </c>
      <c r="C244" s="10">
        <f t="shared" si="12"/>
        <v>52475</v>
      </c>
      <c r="D244" s="10" cm="1">
        <f t="array" aca="1" ref="D244" ca="1">_xll.nxLibAddTenor(B244,"1BD","F","NewYork")</f>
        <v>52475</v>
      </c>
    </row>
    <row r="245" spans="1:4" x14ac:dyDescent="0.25">
      <c r="A245" s="9">
        <f t="shared" si="11"/>
        <v>243</v>
      </c>
      <c r="B245" s="10">
        <f t="shared" si="10"/>
        <v>52504</v>
      </c>
      <c r="C245" s="10">
        <f t="shared" si="12"/>
        <v>52505</v>
      </c>
      <c r="D245" s="10" cm="1">
        <f t="array" aca="1" ref="D245" ca="1">_xll.nxLibAddTenor(B245,"1BD","F","NewYork")</f>
        <v>52505</v>
      </c>
    </row>
    <row r="246" spans="1:4" x14ac:dyDescent="0.25">
      <c r="A246" s="9">
        <f t="shared" si="11"/>
        <v>244</v>
      </c>
      <c r="B246" s="10">
        <f t="shared" si="10"/>
        <v>52535</v>
      </c>
      <c r="C246" s="10">
        <f t="shared" si="12"/>
        <v>52536</v>
      </c>
      <c r="D246" s="10" cm="1">
        <f t="array" aca="1" ref="D246" ca="1">_xll.nxLibAddTenor(B246,"1BD","F","NewYork")</f>
        <v>52537</v>
      </c>
    </row>
    <row r="247" spans="1:4" x14ac:dyDescent="0.25">
      <c r="A247" s="9">
        <f t="shared" si="11"/>
        <v>245</v>
      </c>
      <c r="B247" s="10">
        <f t="shared" si="10"/>
        <v>52565</v>
      </c>
      <c r="C247" s="10">
        <f t="shared" si="12"/>
        <v>52566</v>
      </c>
      <c r="D247" s="10" cm="1">
        <f t="array" aca="1" ref="D247" ca="1">_xll.nxLibAddTenor(B247,"1BD","F","NewYork")</f>
        <v>52566</v>
      </c>
    </row>
    <row r="248" spans="1:4" x14ac:dyDescent="0.25">
      <c r="A248" s="9">
        <f t="shared" si="11"/>
        <v>246</v>
      </c>
      <c r="B248" s="10">
        <f t="shared" si="10"/>
        <v>52596</v>
      </c>
      <c r="C248" s="10">
        <f t="shared" si="12"/>
        <v>52597</v>
      </c>
      <c r="D248" s="10" cm="1">
        <f t="array" aca="1" ref="D248" ca="1">_xll.nxLibAddTenor(B248,"1BD","F","NewYork")</f>
        <v>52600</v>
      </c>
    </row>
    <row r="249" spans="1:4" x14ac:dyDescent="0.25">
      <c r="A249" s="9">
        <f t="shared" si="11"/>
        <v>247</v>
      </c>
      <c r="B249" s="10">
        <f t="shared" si="10"/>
        <v>52627</v>
      </c>
      <c r="C249" s="10">
        <f t="shared" si="12"/>
        <v>52628</v>
      </c>
      <c r="D249" s="10" cm="1">
        <f t="array" aca="1" ref="D249" ca="1">_xll.nxLibAddTenor(B249,"1BD","F","NewYork")</f>
        <v>52628</v>
      </c>
    </row>
    <row r="250" spans="1:4" x14ac:dyDescent="0.25">
      <c r="A250" s="9">
        <f t="shared" si="11"/>
        <v>248</v>
      </c>
      <c r="B250" s="10">
        <f t="shared" si="10"/>
        <v>52656</v>
      </c>
      <c r="C250" s="10">
        <f t="shared" si="12"/>
        <v>52657</v>
      </c>
      <c r="D250" s="10" cm="1">
        <f t="array" aca="1" ref="D250" ca="1">_xll.nxLibAddTenor(B250,"1BD","F","NewYork")</f>
        <v>52657</v>
      </c>
    </row>
    <row r="251" spans="1:4" x14ac:dyDescent="0.25">
      <c r="A251" s="9">
        <f t="shared" si="11"/>
        <v>249</v>
      </c>
      <c r="B251" s="10">
        <f t="shared" si="10"/>
        <v>52687</v>
      </c>
      <c r="C251" s="10">
        <f t="shared" si="12"/>
        <v>52688</v>
      </c>
      <c r="D251" s="10" cm="1">
        <f t="array" aca="1" ref="D251" ca="1">_xll.nxLibAddTenor(B251,"1BD","F","NewYork")</f>
        <v>52688</v>
      </c>
    </row>
    <row r="252" spans="1:4" x14ac:dyDescent="0.25">
      <c r="A252" s="9">
        <f t="shared" si="11"/>
        <v>250</v>
      </c>
      <c r="B252" s="10">
        <f t="shared" si="10"/>
        <v>52717</v>
      </c>
      <c r="C252" s="10">
        <f t="shared" si="12"/>
        <v>52718</v>
      </c>
      <c r="D252" s="10" cm="1">
        <f t="array" aca="1" ref="D252" ca="1">_xll.nxLibAddTenor(B252,"1BD","F","NewYork")</f>
        <v>52719</v>
      </c>
    </row>
    <row r="253" spans="1:4" x14ac:dyDescent="0.25">
      <c r="A253" s="9">
        <f t="shared" si="11"/>
        <v>251</v>
      </c>
      <c r="B253" s="10">
        <f t="shared" si="10"/>
        <v>52748</v>
      </c>
      <c r="C253" s="10">
        <f t="shared" si="12"/>
        <v>52749</v>
      </c>
      <c r="D253" s="10" cm="1">
        <f t="array" aca="1" ref="D253" ca="1">_xll.nxLibAddTenor(B253,"1BD","F","NewYork")</f>
        <v>52749</v>
      </c>
    </row>
    <row r="254" spans="1:4" x14ac:dyDescent="0.25">
      <c r="A254" s="9">
        <f t="shared" si="11"/>
        <v>252</v>
      </c>
      <c r="B254" s="10">
        <f t="shared" si="10"/>
        <v>52778</v>
      </c>
      <c r="C254" s="10">
        <f t="shared" si="12"/>
        <v>52779</v>
      </c>
      <c r="D254" s="10" cm="1">
        <f t="array" aca="1" ref="D254" ca="1">_xll.nxLibAddTenor(B254,"1BD","F","NewYork")</f>
        <v>52779</v>
      </c>
    </row>
    <row r="255" spans="1:4" x14ac:dyDescent="0.25">
      <c r="A255" s="9">
        <f t="shared" si="11"/>
        <v>253</v>
      </c>
      <c r="B255" s="10">
        <f t="shared" si="10"/>
        <v>52809</v>
      </c>
      <c r="C255" s="10">
        <f t="shared" si="12"/>
        <v>52810</v>
      </c>
      <c r="D255" s="10" cm="1">
        <f t="array" aca="1" ref="D255" ca="1">_xll.nxLibAddTenor(B255,"1BD","F","NewYork")</f>
        <v>52810</v>
      </c>
    </row>
    <row r="256" spans="1:4" x14ac:dyDescent="0.25">
      <c r="A256" s="9">
        <f t="shared" si="11"/>
        <v>254</v>
      </c>
      <c r="B256" s="10">
        <f t="shared" si="10"/>
        <v>52840</v>
      </c>
      <c r="C256" s="10">
        <f t="shared" si="12"/>
        <v>52841</v>
      </c>
      <c r="D256" s="10" cm="1">
        <f t="array" aca="1" ref="D256" ca="1">_xll.nxLibAddTenor(B256,"1BD","F","NewYork")</f>
        <v>52841</v>
      </c>
    </row>
    <row r="257" spans="1:4" x14ac:dyDescent="0.25">
      <c r="A257" s="9">
        <f t="shared" si="11"/>
        <v>255</v>
      </c>
      <c r="B257" s="10">
        <f t="shared" si="10"/>
        <v>52870</v>
      </c>
      <c r="C257" s="10">
        <f t="shared" si="12"/>
        <v>52871</v>
      </c>
      <c r="D257" s="10" cm="1">
        <f t="array" aca="1" ref="D257" ca="1">_xll.nxLibAddTenor(B257,"1BD","F","NewYork")</f>
        <v>52873</v>
      </c>
    </row>
    <row r="258" spans="1:4" x14ac:dyDescent="0.25">
      <c r="A258" s="9">
        <f t="shared" si="11"/>
        <v>256</v>
      </c>
      <c r="B258" s="10">
        <f t="shared" ref="B258:B321" si="13">EOMONTH(StartDt, A258)</f>
        <v>52901</v>
      </c>
      <c r="C258" s="10">
        <f t="shared" si="12"/>
        <v>52902</v>
      </c>
      <c r="D258" s="10" cm="1">
        <f t="array" aca="1" ref="D258" ca="1">_xll.nxLibAddTenor(B258,"1BD","F","NewYork")</f>
        <v>52902</v>
      </c>
    </row>
    <row r="259" spans="1:4" x14ac:dyDescent="0.25">
      <c r="A259" s="9">
        <f t="shared" si="11"/>
        <v>257</v>
      </c>
      <c r="B259" s="10">
        <f t="shared" si="13"/>
        <v>52931</v>
      </c>
      <c r="C259" s="10">
        <f t="shared" si="12"/>
        <v>52932</v>
      </c>
      <c r="D259" s="10" cm="1">
        <f t="array" aca="1" ref="D259" ca="1">_xll.nxLibAddTenor(B259,"1BD","F","NewYork")</f>
        <v>52932</v>
      </c>
    </row>
    <row r="260" spans="1:4" x14ac:dyDescent="0.25">
      <c r="A260" s="9">
        <f t="shared" ref="A260:A323" si="14">1+A259</f>
        <v>258</v>
      </c>
      <c r="B260" s="10">
        <f t="shared" si="13"/>
        <v>52962</v>
      </c>
      <c r="C260" s="10">
        <f t="shared" ref="C260:C323" si="15">B260+1</f>
        <v>52963</v>
      </c>
      <c r="D260" s="10" cm="1">
        <f t="array" aca="1" ref="D260" ca="1">_xll.nxLibAddTenor(B260,"1BD","F","NewYork")</f>
        <v>52965</v>
      </c>
    </row>
    <row r="261" spans="1:4" x14ac:dyDescent="0.25">
      <c r="A261" s="9">
        <f t="shared" si="14"/>
        <v>259</v>
      </c>
      <c r="B261" s="10">
        <f t="shared" si="13"/>
        <v>52993</v>
      </c>
      <c r="C261" s="10">
        <f t="shared" si="15"/>
        <v>52994</v>
      </c>
      <c r="D261" s="10" cm="1">
        <f t="array" aca="1" ref="D261" ca="1">_xll.nxLibAddTenor(B261,"1BD","F","NewYork")</f>
        <v>52994</v>
      </c>
    </row>
    <row r="262" spans="1:4" x14ac:dyDescent="0.25">
      <c r="A262" s="9">
        <f t="shared" si="14"/>
        <v>260</v>
      </c>
      <c r="B262" s="10">
        <f t="shared" si="13"/>
        <v>53021</v>
      </c>
      <c r="C262" s="10">
        <f t="shared" si="15"/>
        <v>53022</v>
      </c>
      <c r="D262" s="10" cm="1">
        <f t="array" aca="1" ref="D262" ca="1">_xll.nxLibAddTenor(B262,"1BD","F","NewYork")</f>
        <v>53022</v>
      </c>
    </row>
    <row r="263" spans="1:4" x14ac:dyDescent="0.25">
      <c r="A263" s="9">
        <f t="shared" si="14"/>
        <v>261</v>
      </c>
      <c r="B263" s="10">
        <f t="shared" si="13"/>
        <v>53052</v>
      </c>
      <c r="C263" s="10">
        <f t="shared" si="15"/>
        <v>53053</v>
      </c>
      <c r="D263" s="10" cm="1">
        <f t="array" aca="1" ref="D263" ca="1">_xll.nxLibAddTenor(B263,"1BD","F","NewYork")</f>
        <v>53055</v>
      </c>
    </row>
    <row r="264" spans="1:4" x14ac:dyDescent="0.25">
      <c r="A264" s="9">
        <f t="shared" si="14"/>
        <v>262</v>
      </c>
      <c r="B264" s="10">
        <f t="shared" si="13"/>
        <v>53082</v>
      </c>
      <c r="C264" s="10">
        <f t="shared" si="15"/>
        <v>53083</v>
      </c>
      <c r="D264" s="10" cm="1">
        <f t="array" aca="1" ref="D264" ca="1">_xll.nxLibAddTenor(B264,"1BD","F","NewYork")</f>
        <v>53083</v>
      </c>
    </row>
    <row r="265" spans="1:4" x14ac:dyDescent="0.25">
      <c r="A265" s="9">
        <f t="shared" si="14"/>
        <v>263</v>
      </c>
      <c r="B265" s="10">
        <f t="shared" si="13"/>
        <v>53113</v>
      </c>
      <c r="C265" s="10">
        <f t="shared" si="15"/>
        <v>53114</v>
      </c>
      <c r="D265" s="10" cm="1">
        <f t="array" aca="1" ref="D265" ca="1">_xll.nxLibAddTenor(B265,"1BD","F","NewYork")</f>
        <v>53114</v>
      </c>
    </row>
    <row r="266" spans="1:4" x14ac:dyDescent="0.25">
      <c r="A266" s="9">
        <f t="shared" si="14"/>
        <v>264</v>
      </c>
      <c r="B266" s="10">
        <f t="shared" si="13"/>
        <v>53143</v>
      </c>
      <c r="C266" s="10">
        <f t="shared" si="15"/>
        <v>53144</v>
      </c>
      <c r="D266" s="10" cm="1">
        <f t="array" aca="1" ref="D266" ca="1">_xll.nxLibAddTenor(B266,"1BD","F","NewYork")</f>
        <v>53146</v>
      </c>
    </row>
    <row r="267" spans="1:4" x14ac:dyDescent="0.25">
      <c r="A267" s="9">
        <f t="shared" si="14"/>
        <v>265</v>
      </c>
      <c r="B267" s="10">
        <f t="shared" si="13"/>
        <v>53174</v>
      </c>
      <c r="C267" s="10">
        <f t="shared" si="15"/>
        <v>53175</v>
      </c>
      <c r="D267" s="10" cm="1">
        <f t="array" aca="1" ref="D267" ca="1">_xll.nxLibAddTenor(B267,"1BD","F","NewYork")</f>
        <v>53175</v>
      </c>
    </row>
    <row r="268" spans="1:4" x14ac:dyDescent="0.25">
      <c r="A268" s="9">
        <f t="shared" si="14"/>
        <v>266</v>
      </c>
      <c r="B268" s="10">
        <f t="shared" si="13"/>
        <v>53205</v>
      </c>
      <c r="C268" s="10">
        <f t="shared" si="15"/>
        <v>53206</v>
      </c>
      <c r="D268" s="10" cm="1">
        <f t="array" aca="1" ref="D268" ca="1">_xll.nxLibAddTenor(B268,"1BD","F","NewYork")</f>
        <v>53206</v>
      </c>
    </row>
    <row r="269" spans="1:4" x14ac:dyDescent="0.25">
      <c r="A269" s="9">
        <f t="shared" si="14"/>
        <v>267</v>
      </c>
      <c r="B269" s="10">
        <f t="shared" si="13"/>
        <v>53235</v>
      </c>
      <c r="C269" s="10">
        <f t="shared" si="15"/>
        <v>53236</v>
      </c>
      <c r="D269" s="10" cm="1">
        <f t="array" aca="1" ref="D269" ca="1">_xll.nxLibAddTenor(B269,"1BD","F","NewYork")</f>
        <v>53237</v>
      </c>
    </row>
    <row r="270" spans="1:4" x14ac:dyDescent="0.25">
      <c r="A270" s="9">
        <f t="shared" si="14"/>
        <v>268</v>
      </c>
      <c r="B270" s="10">
        <f t="shared" si="13"/>
        <v>53266</v>
      </c>
      <c r="C270" s="10">
        <f t="shared" si="15"/>
        <v>53267</v>
      </c>
      <c r="D270" s="10" cm="1">
        <f t="array" aca="1" ref="D270" ca="1">_xll.nxLibAddTenor(B270,"1BD","F","NewYork")</f>
        <v>53267</v>
      </c>
    </row>
    <row r="271" spans="1:4" x14ac:dyDescent="0.25">
      <c r="A271" s="9">
        <f t="shared" si="14"/>
        <v>269</v>
      </c>
      <c r="B271" s="10">
        <f t="shared" si="13"/>
        <v>53296</v>
      </c>
      <c r="C271" s="10">
        <f t="shared" si="15"/>
        <v>53297</v>
      </c>
      <c r="D271" s="10" cm="1">
        <f t="array" aca="1" ref="D271" ca="1">_xll.nxLibAddTenor(B271,"1BD","F","NewYork")</f>
        <v>53297</v>
      </c>
    </row>
    <row r="272" spans="1:4" x14ac:dyDescent="0.25">
      <c r="A272" s="9">
        <f t="shared" si="14"/>
        <v>270</v>
      </c>
      <c r="B272" s="10">
        <f t="shared" si="13"/>
        <v>53327</v>
      </c>
      <c r="C272" s="10">
        <f t="shared" si="15"/>
        <v>53328</v>
      </c>
      <c r="D272" s="10" cm="1">
        <f t="array" aca="1" ref="D272" ca="1">_xll.nxLibAddTenor(B272,"1BD","F","NewYork")</f>
        <v>53329</v>
      </c>
    </row>
    <row r="273" spans="1:4" x14ac:dyDescent="0.25">
      <c r="A273" s="9">
        <f t="shared" si="14"/>
        <v>271</v>
      </c>
      <c r="B273" s="10">
        <f t="shared" si="13"/>
        <v>53358</v>
      </c>
      <c r="C273" s="10">
        <f t="shared" si="15"/>
        <v>53359</v>
      </c>
      <c r="D273" s="10" cm="1">
        <f t="array" aca="1" ref="D273" ca="1">_xll.nxLibAddTenor(B273,"1BD","F","NewYork")</f>
        <v>53359</v>
      </c>
    </row>
    <row r="274" spans="1:4" x14ac:dyDescent="0.25">
      <c r="A274" s="9">
        <f t="shared" si="14"/>
        <v>272</v>
      </c>
      <c r="B274" s="10">
        <f t="shared" si="13"/>
        <v>53386</v>
      </c>
      <c r="C274" s="10">
        <f t="shared" si="15"/>
        <v>53387</v>
      </c>
      <c r="D274" s="10" cm="1">
        <f t="array" aca="1" ref="D274" ca="1">_xll.nxLibAddTenor(B274,"1BD","F","NewYork")</f>
        <v>53387</v>
      </c>
    </row>
    <row r="275" spans="1:4" x14ac:dyDescent="0.25">
      <c r="A275" s="9">
        <f t="shared" si="14"/>
        <v>273</v>
      </c>
      <c r="B275" s="10">
        <f t="shared" si="13"/>
        <v>53417</v>
      </c>
      <c r="C275" s="10">
        <f t="shared" si="15"/>
        <v>53418</v>
      </c>
      <c r="D275" s="10" cm="1">
        <f t="array" aca="1" ref="D275" ca="1">_xll.nxLibAddTenor(B275,"1BD","F","NewYork")</f>
        <v>53419</v>
      </c>
    </row>
    <row r="276" spans="1:4" x14ac:dyDescent="0.25">
      <c r="A276" s="9">
        <f t="shared" si="14"/>
        <v>274</v>
      </c>
      <c r="B276" s="10">
        <f t="shared" si="13"/>
        <v>53447</v>
      </c>
      <c r="C276" s="10">
        <f t="shared" si="15"/>
        <v>53448</v>
      </c>
      <c r="D276" s="10" cm="1">
        <f t="array" aca="1" ref="D276" ca="1">_xll.nxLibAddTenor(B276,"1BD","F","NewYork")</f>
        <v>53448</v>
      </c>
    </row>
    <row r="277" spans="1:4" x14ac:dyDescent="0.25">
      <c r="A277" s="9">
        <f t="shared" si="14"/>
        <v>275</v>
      </c>
      <c r="B277" s="10">
        <f t="shared" si="13"/>
        <v>53478</v>
      </c>
      <c r="C277" s="10">
        <f t="shared" si="15"/>
        <v>53479</v>
      </c>
      <c r="D277" s="10" cm="1">
        <f t="array" aca="1" ref="D277" ca="1">_xll.nxLibAddTenor(B277,"1BD","F","NewYork")</f>
        <v>53479</v>
      </c>
    </row>
    <row r="278" spans="1:4" x14ac:dyDescent="0.25">
      <c r="A278" s="9">
        <f t="shared" si="14"/>
        <v>276</v>
      </c>
      <c r="B278" s="10">
        <f t="shared" si="13"/>
        <v>53508</v>
      </c>
      <c r="C278" s="10">
        <f t="shared" si="15"/>
        <v>53509</v>
      </c>
      <c r="D278" s="10" cm="1">
        <f t="array" aca="1" ref="D278" ca="1">_xll.nxLibAddTenor(B278,"1BD","F","NewYork")</f>
        <v>53510</v>
      </c>
    </row>
    <row r="279" spans="1:4" x14ac:dyDescent="0.25">
      <c r="A279" s="9">
        <f t="shared" si="14"/>
        <v>277</v>
      </c>
      <c r="B279" s="10">
        <f t="shared" si="13"/>
        <v>53539</v>
      </c>
      <c r="C279" s="10">
        <f t="shared" si="15"/>
        <v>53540</v>
      </c>
      <c r="D279" s="10" cm="1">
        <f t="array" aca="1" ref="D279" ca="1">_xll.nxLibAddTenor(B279,"1BD","F","NewYork")</f>
        <v>53540</v>
      </c>
    </row>
    <row r="280" spans="1:4" x14ac:dyDescent="0.25">
      <c r="A280" s="9">
        <f t="shared" si="14"/>
        <v>278</v>
      </c>
      <c r="B280" s="10">
        <f t="shared" si="13"/>
        <v>53570</v>
      </c>
      <c r="C280" s="10">
        <f t="shared" si="15"/>
        <v>53571</v>
      </c>
      <c r="D280" s="10" cm="1">
        <f t="array" aca="1" ref="D280" ca="1">_xll.nxLibAddTenor(B280,"1BD","F","NewYork")</f>
        <v>53574</v>
      </c>
    </row>
    <row r="281" spans="1:4" x14ac:dyDescent="0.25">
      <c r="A281" s="9">
        <f t="shared" si="14"/>
        <v>279</v>
      </c>
      <c r="B281" s="10">
        <f t="shared" si="13"/>
        <v>53600</v>
      </c>
      <c r="C281" s="10">
        <f t="shared" si="15"/>
        <v>53601</v>
      </c>
      <c r="D281" s="10" cm="1">
        <f t="array" aca="1" ref="D281" ca="1">_xll.nxLibAddTenor(B281,"1BD","F","NewYork")</f>
        <v>53601</v>
      </c>
    </row>
    <row r="282" spans="1:4" x14ac:dyDescent="0.25">
      <c r="A282" s="9">
        <f t="shared" si="14"/>
        <v>280</v>
      </c>
      <c r="B282" s="10">
        <f t="shared" si="13"/>
        <v>53631</v>
      </c>
      <c r="C282" s="10">
        <f t="shared" si="15"/>
        <v>53632</v>
      </c>
      <c r="D282" s="10" cm="1">
        <f t="array" aca="1" ref="D282" ca="1">_xll.nxLibAddTenor(B282,"1BD","F","NewYork")</f>
        <v>53632</v>
      </c>
    </row>
    <row r="283" spans="1:4" x14ac:dyDescent="0.25">
      <c r="A283" s="9">
        <f t="shared" si="14"/>
        <v>281</v>
      </c>
      <c r="B283" s="10">
        <f t="shared" si="13"/>
        <v>53661</v>
      </c>
      <c r="C283" s="10">
        <f t="shared" si="15"/>
        <v>53662</v>
      </c>
      <c r="D283" s="10" cm="1">
        <f t="array" aca="1" ref="D283" ca="1">_xll.nxLibAddTenor(B283,"1BD","F","NewYork")</f>
        <v>53664</v>
      </c>
    </row>
    <row r="284" spans="1:4" x14ac:dyDescent="0.25">
      <c r="A284" s="9">
        <f t="shared" si="14"/>
        <v>282</v>
      </c>
      <c r="B284" s="10">
        <f t="shared" si="13"/>
        <v>53692</v>
      </c>
      <c r="C284" s="10">
        <f t="shared" si="15"/>
        <v>53693</v>
      </c>
      <c r="D284" s="10" cm="1">
        <f t="array" aca="1" ref="D284" ca="1">_xll.nxLibAddTenor(B284,"1BD","F","NewYork")</f>
        <v>53694</v>
      </c>
    </row>
    <row r="285" spans="1:4" x14ac:dyDescent="0.25">
      <c r="A285" s="9">
        <f t="shared" si="14"/>
        <v>283</v>
      </c>
      <c r="B285" s="10">
        <f t="shared" si="13"/>
        <v>53723</v>
      </c>
      <c r="C285" s="10">
        <f t="shared" si="15"/>
        <v>53724</v>
      </c>
      <c r="D285" s="10" cm="1">
        <f t="array" aca="1" ref="D285" ca="1">_xll.nxLibAddTenor(B285,"1BD","F","NewYork")</f>
        <v>53724</v>
      </c>
    </row>
    <row r="286" spans="1:4" x14ac:dyDescent="0.25">
      <c r="A286" s="9">
        <f t="shared" si="14"/>
        <v>284</v>
      </c>
      <c r="B286" s="10">
        <f t="shared" si="13"/>
        <v>53751</v>
      </c>
      <c r="C286" s="10">
        <f t="shared" si="15"/>
        <v>53752</v>
      </c>
      <c r="D286" s="10" cm="1">
        <f t="array" aca="1" ref="D286" ca="1">_xll.nxLibAddTenor(B286,"1BD","F","NewYork")</f>
        <v>53752</v>
      </c>
    </row>
    <row r="287" spans="1:4" x14ac:dyDescent="0.25">
      <c r="A287" s="9">
        <f t="shared" si="14"/>
        <v>285</v>
      </c>
      <c r="B287" s="10">
        <f t="shared" si="13"/>
        <v>53782</v>
      </c>
      <c r="C287" s="10">
        <f t="shared" si="15"/>
        <v>53783</v>
      </c>
      <c r="D287" s="10" cm="1">
        <f t="array" aca="1" ref="D287" ca="1">_xll.nxLibAddTenor(B287,"1BD","F","NewYork")</f>
        <v>53783</v>
      </c>
    </row>
    <row r="288" spans="1:4" x14ac:dyDescent="0.25">
      <c r="A288" s="9">
        <f t="shared" si="14"/>
        <v>286</v>
      </c>
      <c r="B288" s="10">
        <f t="shared" si="13"/>
        <v>53812</v>
      </c>
      <c r="C288" s="10">
        <f t="shared" si="15"/>
        <v>53813</v>
      </c>
      <c r="D288" s="10" cm="1">
        <f t="array" aca="1" ref="D288" ca="1">_xll.nxLibAddTenor(B288,"1BD","F","NewYork")</f>
        <v>53813</v>
      </c>
    </row>
    <row r="289" spans="1:4" x14ac:dyDescent="0.25">
      <c r="A289" s="9">
        <f t="shared" si="14"/>
        <v>287</v>
      </c>
      <c r="B289" s="10">
        <f t="shared" si="13"/>
        <v>53843</v>
      </c>
      <c r="C289" s="10">
        <f t="shared" si="15"/>
        <v>53844</v>
      </c>
      <c r="D289" s="10" cm="1">
        <f t="array" aca="1" ref="D289" ca="1">_xll.nxLibAddTenor(B289,"1BD","F","NewYork")</f>
        <v>53846</v>
      </c>
    </row>
    <row r="290" spans="1:4" x14ac:dyDescent="0.25">
      <c r="A290" s="9">
        <f t="shared" si="14"/>
        <v>288</v>
      </c>
      <c r="B290" s="10">
        <f t="shared" si="13"/>
        <v>53873</v>
      </c>
      <c r="C290" s="10">
        <f t="shared" si="15"/>
        <v>53874</v>
      </c>
      <c r="D290" s="10" cm="1">
        <f t="array" aca="1" ref="D290" ca="1">_xll.nxLibAddTenor(B290,"1BD","F","NewYork")</f>
        <v>53874</v>
      </c>
    </row>
    <row r="291" spans="1:4" x14ac:dyDescent="0.25">
      <c r="A291" s="9">
        <f t="shared" si="14"/>
        <v>289</v>
      </c>
      <c r="B291" s="10">
        <f t="shared" si="13"/>
        <v>53904</v>
      </c>
      <c r="C291" s="10">
        <f t="shared" si="15"/>
        <v>53905</v>
      </c>
      <c r="D291" s="10" cm="1">
        <f t="array" aca="1" ref="D291" ca="1">_xll.nxLibAddTenor(B291,"1BD","F","NewYork")</f>
        <v>53905</v>
      </c>
    </row>
    <row r="292" spans="1:4" x14ac:dyDescent="0.25">
      <c r="A292" s="9">
        <f t="shared" si="14"/>
        <v>290</v>
      </c>
      <c r="B292" s="10">
        <f t="shared" si="13"/>
        <v>53935</v>
      </c>
      <c r="C292" s="10">
        <f t="shared" si="15"/>
        <v>53936</v>
      </c>
      <c r="D292" s="10" cm="1">
        <f t="array" aca="1" ref="D292" ca="1">_xll.nxLibAddTenor(B292,"1BD","F","NewYork")</f>
        <v>53938</v>
      </c>
    </row>
    <row r="293" spans="1:4" x14ac:dyDescent="0.25">
      <c r="A293" s="9">
        <f t="shared" si="14"/>
        <v>291</v>
      </c>
      <c r="B293" s="10">
        <f t="shared" si="13"/>
        <v>53965</v>
      </c>
      <c r="C293" s="10">
        <f t="shared" si="15"/>
        <v>53966</v>
      </c>
      <c r="D293" s="10" cm="1">
        <f t="array" aca="1" ref="D293" ca="1">_xll.nxLibAddTenor(B293,"1BD","F","NewYork")</f>
        <v>53966</v>
      </c>
    </row>
    <row r="294" spans="1:4" x14ac:dyDescent="0.25">
      <c r="A294" s="9">
        <f t="shared" si="14"/>
        <v>292</v>
      </c>
      <c r="B294" s="10">
        <f t="shared" si="13"/>
        <v>53996</v>
      </c>
      <c r="C294" s="10">
        <f t="shared" si="15"/>
        <v>53997</v>
      </c>
      <c r="D294" s="10" cm="1">
        <f t="array" aca="1" ref="D294" ca="1">_xll.nxLibAddTenor(B294,"1BD","F","NewYork")</f>
        <v>53997</v>
      </c>
    </row>
    <row r="295" spans="1:4" x14ac:dyDescent="0.25">
      <c r="A295" s="9">
        <f t="shared" si="14"/>
        <v>293</v>
      </c>
      <c r="B295" s="10">
        <f t="shared" si="13"/>
        <v>54026</v>
      </c>
      <c r="C295" s="10">
        <f t="shared" si="15"/>
        <v>54027</v>
      </c>
      <c r="D295" s="10" cm="1">
        <f t="array" aca="1" ref="D295" ca="1">_xll.nxLibAddTenor(B295,"1BD","F","NewYork")</f>
        <v>54028</v>
      </c>
    </row>
    <row r="296" spans="1:4" x14ac:dyDescent="0.25">
      <c r="A296" s="9">
        <f t="shared" si="14"/>
        <v>294</v>
      </c>
      <c r="B296" s="10">
        <f t="shared" si="13"/>
        <v>54057</v>
      </c>
      <c r="C296" s="10">
        <f t="shared" si="15"/>
        <v>54058</v>
      </c>
      <c r="D296" s="10" cm="1">
        <f t="array" aca="1" ref="D296" ca="1">_xll.nxLibAddTenor(B296,"1BD","F","NewYork")</f>
        <v>54059</v>
      </c>
    </row>
    <row r="297" spans="1:4" x14ac:dyDescent="0.25">
      <c r="A297" s="9">
        <f t="shared" si="14"/>
        <v>295</v>
      </c>
      <c r="B297" s="10">
        <f t="shared" si="13"/>
        <v>54088</v>
      </c>
      <c r="C297" s="10">
        <f t="shared" si="15"/>
        <v>54089</v>
      </c>
      <c r="D297" s="10" cm="1">
        <f t="array" aca="1" ref="D297" ca="1">_xll.nxLibAddTenor(B297,"1BD","F","NewYork")</f>
        <v>54091</v>
      </c>
    </row>
    <row r="298" spans="1:4" x14ac:dyDescent="0.25">
      <c r="A298" s="9">
        <f t="shared" si="14"/>
        <v>296</v>
      </c>
      <c r="B298" s="10">
        <f t="shared" si="13"/>
        <v>54117</v>
      </c>
      <c r="C298" s="10">
        <f t="shared" si="15"/>
        <v>54118</v>
      </c>
      <c r="D298" s="10" cm="1">
        <f t="array" aca="1" ref="D298" ca="1">_xll.nxLibAddTenor(B298,"1BD","F","NewYork")</f>
        <v>54119</v>
      </c>
    </row>
    <row r="299" spans="1:4" x14ac:dyDescent="0.25">
      <c r="A299" s="9">
        <f t="shared" si="14"/>
        <v>297</v>
      </c>
      <c r="B299" s="10">
        <f t="shared" si="13"/>
        <v>54148</v>
      </c>
      <c r="C299" s="10">
        <f t="shared" si="15"/>
        <v>54149</v>
      </c>
      <c r="D299" s="10" cm="1">
        <f t="array" aca="1" ref="D299" ca="1">_xll.nxLibAddTenor(B299,"1BD","F","NewYork")</f>
        <v>54149</v>
      </c>
    </row>
    <row r="300" spans="1:4" x14ac:dyDescent="0.25">
      <c r="A300" s="9">
        <f t="shared" si="14"/>
        <v>298</v>
      </c>
      <c r="B300" s="10">
        <f t="shared" si="13"/>
        <v>54178</v>
      </c>
      <c r="C300" s="10">
        <f t="shared" si="15"/>
        <v>54179</v>
      </c>
      <c r="D300" s="10" cm="1">
        <f t="array" aca="1" ref="D300" ca="1">_xll.nxLibAddTenor(B300,"1BD","F","NewYork")</f>
        <v>54179</v>
      </c>
    </row>
    <row r="301" spans="1:4" x14ac:dyDescent="0.25">
      <c r="A301" s="9">
        <f t="shared" si="14"/>
        <v>299</v>
      </c>
      <c r="B301" s="10">
        <f t="shared" si="13"/>
        <v>54209</v>
      </c>
      <c r="C301" s="10">
        <f t="shared" si="15"/>
        <v>54210</v>
      </c>
      <c r="D301" s="10" cm="1">
        <f t="array" aca="1" ref="D301" ca="1">_xll.nxLibAddTenor(B301,"1BD","F","NewYork")</f>
        <v>54210</v>
      </c>
    </row>
    <row r="302" spans="1:4" x14ac:dyDescent="0.25">
      <c r="A302" s="9">
        <f t="shared" si="14"/>
        <v>300</v>
      </c>
      <c r="B302" s="10">
        <f t="shared" si="13"/>
        <v>54239</v>
      </c>
      <c r="C302" s="10">
        <f t="shared" si="15"/>
        <v>54240</v>
      </c>
      <c r="D302" s="10" cm="1">
        <f t="array" aca="1" ref="D302" ca="1">_xll.nxLibAddTenor(B302,"1BD","F","NewYork")</f>
        <v>54240</v>
      </c>
    </row>
    <row r="303" spans="1:4" x14ac:dyDescent="0.25">
      <c r="A303" s="9">
        <f t="shared" si="14"/>
        <v>301</v>
      </c>
      <c r="B303" s="10">
        <f t="shared" si="13"/>
        <v>54270</v>
      </c>
      <c r="C303" s="10">
        <f t="shared" si="15"/>
        <v>54271</v>
      </c>
      <c r="D303" s="10" cm="1">
        <f t="array" aca="1" ref="D303" ca="1">_xll.nxLibAddTenor(B303,"1BD","F","NewYork")</f>
        <v>54273</v>
      </c>
    </row>
    <row r="304" spans="1:4" x14ac:dyDescent="0.25">
      <c r="A304" s="9">
        <f t="shared" si="14"/>
        <v>302</v>
      </c>
      <c r="B304" s="10">
        <f t="shared" si="13"/>
        <v>54301</v>
      </c>
      <c r="C304" s="10">
        <f t="shared" si="15"/>
        <v>54302</v>
      </c>
      <c r="D304" s="10" cm="1">
        <f t="array" aca="1" ref="D304" ca="1">_xll.nxLibAddTenor(B304,"1BD","F","NewYork")</f>
        <v>54302</v>
      </c>
    </row>
    <row r="305" spans="1:4" x14ac:dyDescent="0.25">
      <c r="A305" s="9">
        <f t="shared" si="14"/>
        <v>303</v>
      </c>
      <c r="B305" s="10">
        <f t="shared" si="13"/>
        <v>54331</v>
      </c>
      <c r="C305" s="10">
        <f t="shared" si="15"/>
        <v>54332</v>
      </c>
      <c r="D305" s="10" cm="1">
        <f t="array" aca="1" ref="D305" ca="1">_xll.nxLibAddTenor(B305,"1BD","F","NewYork")</f>
        <v>54332</v>
      </c>
    </row>
    <row r="306" spans="1:4" x14ac:dyDescent="0.25">
      <c r="A306" s="9">
        <f t="shared" si="14"/>
        <v>304</v>
      </c>
      <c r="B306" s="10">
        <f t="shared" si="13"/>
        <v>54362</v>
      </c>
      <c r="C306" s="10">
        <f t="shared" si="15"/>
        <v>54363</v>
      </c>
      <c r="D306" s="10" cm="1">
        <f t="array" aca="1" ref="D306" ca="1">_xll.nxLibAddTenor(B306,"1BD","F","NewYork")</f>
        <v>54364</v>
      </c>
    </row>
    <row r="307" spans="1:4" x14ac:dyDescent="0.25">
      <c r="A307" s="9">
        <f t="shared" si="14"/>
        <v>305</v>
      </c>
      <c r="B307" s="10">
        <f t="shared" si="13"/>
        <v>54392</v>
      </c>
      <c r="C307" s="10">
        <f t="shared" si="15"/>
        <v>54393</v>
      </c>
      <c r="D307" s="10" cm="1">
        <f t="array" aca="1" ref="D307" ca="1">_xll.nxLibAddTenor(B307,"1BD","F","NewYork")</f>
        <v>54393</v>
      </c>
    </row>
    <row r="308" spans="1:4" x14ac:dyDescent="0.25">
      <c r="A308" s="9">
        <f t="shared" si="14"/>
        <v>306</v>
      </c>
      <c r="B308" s="10">
        <f t="shared" si="13"/>
        <v>54423</v>
      </c>
      <c r="C308" s="10">
        <f t="shared" si="15"/>
        <v>54424</v>
      </c>
      <c r="D308" s="10" cm="1">
        <f t="array" aca="1" ref="D308" ca="1">_xll.nxLibAddTenor(B308,"1BD","F","NewYork")</f>
        <v>54427</v>
      </c>
    </row>
    <row r="309" spans="1:4" x14ac:dyDescent="0.25">
      <c r="A309" s="9">
        <f t="shared" si="14"/>
        <v>307</v>
      </c>
      <c r="B309" s="10">
        <f t="shared" si="13"/>
        <v>54454</v>
      </c>
      <c r="C309" s="10">
        <f t="shared" si="15"/>
        <v>54455</v>
      </c>
      <c r="D309" s="10" cm="1">
        <f t="array" aca="1" ref="D309" ca="1">_xll.nxLibAddTenor(B309,"1BD","F","NewYork")</f>
        <v>54455</v>
      </c>
    </row>
    <row r="310" spans="1:4" x14ac:dyDescent="0.25">
      <c r="A310" s="9">
        <f t="shared" si="14"/>
        <v>308</v>
      </c>
      <c r="B310" s="10">
        <f t="shared" si="13"/>
        <v>54482</v>
      </c>
      <c r="C310" s="10">
        <f t="shared" si="15"/>
        <v>54483</v>
      </c>
      <c r="D310" s="10" cm="1">
        <f t="array" aca="1" ref="D310" ca="1">_xll.nxLibAddTenor(B310,"1BD","F","NewYork")</f>
        <v>54483</v>
      </c>
    </row>
    <row r="311" spans="1:4" x14ac:dyDescent="0.25">
      <c r="A311" s="9">
        <f t="shared" si="14"/>
        <v>309</v>
      </c>
      <c r="B311" s="10">
        <f t="shared" si="13"/>
        <v>54513</v>
      </c>
      <c r="C311" s="10">
        <f t="shared" si="15"/>
        <v>54514</v>
      </c>
      <c r="D311" s="10" cm="1">
        <f t="array" aca="1" ref="D311" ca="1">_xll.nxLibAddTenor(B311,"1BD","F","NewYork")</f>
        <v>54514</v>
      </c>
    </row>
    <row r="312" spans="1:4" x14ac:dyDescent="0.25">
      <c r="A312" s="9">
        <f t="shared" si="14"/>
        <v>310</v>
      </c>
      <c r="B312" s="10">
        <f t="shared" si="13"/>
        <v>54543</v>
      </c>
      <c r="C312" s="10">
        <f t="shared" si="15"/>
        <v>54544</v>
      </c>
      <c r="D312" s="10" cm="1">
        <f t="array" aca="1" ref="D312" ca="1">_xll.nxLibAddTenor(B312,"1BD","F","NewYork")</f>
        <v>54546</v>
      </c>
    </row>
    <row r="313" spans="1:4" x14ac:dyDescent="0.25">
      <c r="A313" s="9">
        <f t="shared" si="14"/>
        <v>311</v>
      </c>
      <c r="B313" s="10">
        <f t="shared" si="13"/>
        <v>54574</v>
      </c>
      <c r="C313" s="10">
        <f t="shared" si="15"/>
        <v>54575</v>
      </c>
      <c r="D313" s="10" cm="1">
        <f t="array" aca="1" ref="D313" ca="1">_xll.nxLibAddTenor(B313,"1BD","F","NewYork")</f>
        <v>54575</v>
      </c>
    </row>
    <row r="314" spans="1:4" x14ac:dyDescent="0.25">
      <c r="A314" s="9">
        <f t="shared" si="14"/>
        <v>312</v>
      </c>
      <c r="B314" s="10">
        <f t="shared" si="13"/>
        <v>54604</v>
      </c>
      <c r="C314" s="10">
        <f t="shared" si="15"/>
        <v>54605</v>
      </c>
      <c r="D314" s="10" cm="1">
        <f t="array" aca="1" ref="D314" ca="1">_xll.nxLibAddTenor(B314,"1BD","F","NewYork")</f>
        <v>54605</v>
      </c>
    </row>
    <row r="315" spans="1:4" x14ac:dyDescent="0.25">
      <c r="A315" s="9">
        <f t="shared" si="14"/>
        <v>313</v>
      </c>
      <c r="B315" s="10">
        <f t="shared" si="13"/>
        <v>54635</v>
      </c>
      <c r="C315" s="10">
        <f t="shared" si="15"/>
        <v>54636</v>
      </c>
      <c r="D315" s="10" cm="1">
        <f t="array" aca="1" ref="D315" ca="1">_xll.nxLibAddTenor(B315,"1BD","F","NewYork")</f>
        <v>54637</v>
      </c>
    </row>
    <row r="316" spans="1:4" x14ac:dyDescent="0.25">
      <c r="A316" s="9">
        <f t="shared" si="14"/>
        <v>314</v>
      </c>
      <c r="B316" s="10">
        <f t="shared" si="13"/>
        <v>54666</v>
      </c>
      <c r="C316" s="10">
        <f t="shared" si="15"/>
        <v>54667</v>
      </c>
      <c r="D316" s="10" cm="1">
        <f t="array" aca="1" ref="D316" ca="1">_xll.nxLibAddTenor(B316,"1BD","F","NewYork")</f>
        <v>54667</v>
      </c>
    </row>
    <row r="317" spans="1:4" x14ac:dyDescent="0.25">
      <c r="A317" s="9">
        <f t="shared" si="14"/>
        <v>315</v>
      </c>
      <c r="B317" s="10">
        <f t="shared" si="13"/>
        <v>54696</v>
      </c>
      <c r="C317" s="10">
        <f t="shared" si="15"/>
        <v>54697</v>
      </c>
      <c r="D317" s="10" cm="1">
        <f t="array" aca="1" ref="D317" ca="1">_xll.nxLibAddTenor(B317,"1BD","F","NewYork")</f>
        <v>54697</v>
      </c>
    </row>
    <row r="318" spans="1:4" x14ac:dyDescent="0.25">
      <c r="A318" s="9">
        <f t="shared" si="14"/>
        <v>316</v>
      </c>
      <c r="B318" s="10">
        <f t="shared" si="13"/>
        <v>54727</v>
      </c>
      <c r="C318" s="10">
        <f t="shared" si="15"/>
        <v>54728</v>
      </c>
      <c r="D318" s="10" cm="1">
        <f t="array" aca="1" ref="D318" ca="1">_xll.nxLibAddTenor(B318,"1BD","F","NewYork")</f>
        <v>54728</v>
      </c>
    </row>
    <row r="319" spans="1:4" x14ac:dyDescent="0.25">
      <c r="A319" s="9">
        <f t="shared" si="14"/>
        <v>317</v>
      </c>
      <c r="B319" s="10">
        <f t="shared" si="13"/>
        <v>54757</v>
      </c>
      <c r="C319" s="10">
        <f t="shared" si="15"/>
        <v>54758</v>
      </c>
      <c r="D319" s="10" cm="1">
        <f t="array" aca="1" ref="D319" ca="1">_xll.nxLibAddTenor(B319,"1BD","F","NewYork")</f>
        <v>54758</v>
      </c>
    </row>
    <row r="320" spans="1:4" x14ac:dyDescent="0.25">
      <c r="A320" s="9">
        <f t="shared" si="14"/>
        <v>318</v>
      </c>
      <c r="B320" s="10">
        <f t="shared" si="13"/>
        <v>54788</v>
      </c>
      <c r="C320" s="10">
        <f t="shared" si="15"/>
        <v>54789</v>
      </c>
      <c r="D320" s="10" cm="1">
        <f t="array" aca="1" ref="D320" ca="1">_xll.nxLibAddTenor(B320,"1BD","F","NewYork")</f>
        <v>54791</v>
      </c>
    </row>
    <row r="321" spans="1:4" x14ac:dyDescent="0.25">
      <c r="A321" s="9">
        <f t="shared" si="14"/>
        <v>319</v>
      </c>
      <c r="B321" s="10">
        <f t="shared" si="13"/>
        <v>54819</v>
      </c>
      <c r="C321" s="10">
        <f t="shared" si="15"/>
        <v>54820</v>
      </c>
      <c r="D321" s="10" cm="1">
        <f t="array" aca="1" ref="D321" ca="1">_xll.nxLibAddTenor(B321,"1BD","F","NewYork")</f>
        <v>54820</v>
      </c>
    </row>
    <row r="322" spans="1:4" x14ac:dyDescent="0.25">
      <c r="A322" s="9">
        <f t="shared" si="14"/>
        <v>320</v>
      </c>
      <c r="B322" s="10">
        <f t="shared" ref="B322:B385" si="16">EOMONTH(StartDt, A322)</f>
        <v>54847</v>
      </c>
      <c r="C322" s="10">
        <f t="shared" si="15"/>
        <v>54848</v>
      </c>
      <c r="D322" s="10" cm="1">
        <f t="array" aca="1" ref="D322" ca="1">_xll.nxLibAddTenor(B322,"1BD","F","NewYork")</f>
        <v>54848</v>
      </c>
    </row>
    <row r="323" spans="1:4" x14ac:dyDescent="0.25">
      <c r="A323" s="9">
        <f t="shared" si="14"/>
        <v>321</v>
      </c>
      <c r="B323" s="10">
        <f t="shared" si="16"/>
        <v>54878</v>
      </c>
      <c r="C323" s="10">
        <f t="shared" si="15"/>
        <v>54879</v>
      </c>
      <c r="D323" s="10" cm="1">
        <f t="array" aca="1" ref="D323" ca="1">_xll.nxLibAddTenor(B323,"1BD","F","NewYork")</f>
        <v>54879</v>
      </c>
    </row>
    <row r="324" spans="1:4" x14ac:dyDescent="0.25">
      <c r="A324" s="9">
        <f t="shared" ref="A324:A361" si="17">1+A323</f>
        <v>322</v>
      </c>
      <c r="B324" s="10">
        <f t="shared" si="16"/>
        <v>54908</v>
      </c>
      <c r="C324" s="10">
        <f t="shared" ref="C324:C362" si="18">B324+1</f>
        <v>54909</v>
      </c>
      <c r="D324" s="10" cm="1">
        <f t="array" aca="1" ref="D324" ca="1">_xll.nxLibAddTenor(B324,"1BD","F","NewYork")</f>
        <v>54910</v>
      </c>
    </row>
    <row r="325" spans="1:4" x14ac:dyDescent="0.25">
      <c r="A325" s="9">
        <f t="shared" si="17"/>
        <v>323</v>
      </c>
      <c r="B325" s="10">
        <f t="shared" si="16"/>
        <v>54939</v>
      </c>
      <c r="C325" s="10">
        <f t="shared" si="18"/>
        <v>54940</v>
      </c>
      <c r="D325" s="10" cm="1">
        <f t="array" aca="1" ref="D325" ca="1">_xll.nxLibAddTenor(B325,"1BD","F","NewYork")</f>
        <v>54940</v>
      </c>
    </row>
    <row r="326" spans="1:4" x14ac:dyDescent="0.25">
      <c r="A326" s="9">
        <f t="shared" si="17"/>
        <v>324</v>
      </c>
      <c r="B326" s="10">
        <f t="shared" si="16"/>
        <v>54969</v>
      </c>
      <c r="C326" s="10">
        <f t="shared" si="18"/>
        <v>54970</v>
      </c>
      <c r="D326" s="10" cm="1">
        <f t="array" aca="1" ref="D326" ca="1">_xll.nxLibAddTenor(B326,"1BD","F","NewYork")</f>
        <v>54970</v>
      </c>
    </row>
    <row r="327" spans="1:4" x14ac:dyDescent="0.25">
      <c r="A327" s="9">
        <f t="shared" si="17"/>
        <v>325</v>
      </c>
      <c r="B327" s="10">
        <f t="shared" si="16"/>
        <v>55000</v>
      </c>
      <c r="C327" s="10">
        <f t="shared" si="18"/>
        <v>55001</v>
      </c>
      <c r="D327" s="10" cm="1">
        <f t="array" aca="1" ref="D327" ca="1">_xll.nxLibAddTenor(B327,"1BD","F","NewYork")</f>
        <v>55001</v>
      </c>
    </row>
    <row r="328" spans="1:4" x14ac:dyDescent="0.25">
      <c r="A328" s="9">
        <f t="shared" si="17"/>
        <v>326</v>
      </c>
      <c r="B328" s="10">
        <f t="shared" si="16"/>
        <v>55031</v>
      </c>
      <c r="C328" s="10">
        <f t="shared" si="18"/>
        <v>55032</v>
      </c>
      <c r="D328" s="10" cm="1">
        <f t="array" aca="1" ref="D328" ca="1">_xll.nxLibAddTenor(B328,"1BD","F","NewYork")</f>
        <v>55032</v>
      </c>
    </row>
    <row r="329" spans="1:4" x14ac:dyDescent="0.25">
      <c r="A329" s="9">
        <f t="shared" si="17"/>
        <v>327</v>
      </c>
      <c r="B329" s="10">
        <f t="shared" si="16"/>
        <v>55061</v>
      </c>
      <c r="C329" s="10">
        <f t="shared" si="18"/>
        <v>55062</v>
      </c>
      <c r="D329" s="10" cm="1">
        <f t="array" aca="1" ref="D329" ca="1">_xll.nxLibAddTenor(B329,"1BD","F","NewYork")</f>
        <v>55064</v>
      </c>
    </row>
    <row r="330" spans="1:4" x14ac:dyDescent="0.25">
      <c r="A330" s="9">
        <f t="shared" si="17"/>
        <v>328</v>
      </c>
      <c r="B330" s="10">
        <f t="shared" si="16"/>
        <v>55092</v>
      </c>
      <c r="C330" s="10">
        <f t="shared" si="18"/>
        <v>55093</v>
      </c>
      <c r="D330" s="10" cm="1">
        <f t="array" aca="1" ref="D330" ca="1">_xll.nxLibAddTenor(B330,"1BD","F","NewYork")</f>
        <v>55093</v>
      </c>
    </row>
    <row r="331" spans="1:4" x14ac:dyDescent="0.25">
      <c r="A331" s="9">
        <f t="shared" si="17"/>
        <v>329</v>
      </c>
      <c r="B331" s="10">
        <f t="shared" si="16"/>
        <v>55122</v>
      </c>
      <c r="C331" s="10">
        <f t="shared" si="18"/>
        <v>55123</v>
      </c>
      <c r="D331" s="10" cm="1">
        <f t="array" aca="1" ref="D331" ca="1">_xll.nxLibAddTenor(B331,"1BD","F","NewYork")</f>
        <v>55123</v>
      </c>
    </row>
    <row r="332" spans="1:4" x14ac:dyDescent="0.25">
      <c r="A332" s="9">
        <f t="shared" si="17"/>
        <v>330</v>
      </c>
      <c r="B332" s="10">
        <f t="shared" si="16"/>
        <v>55153</v>
      </c>
      <c r="C332" s="10">
        <f t="shared" si="18"/>
        <v>55154</v>
      </c>
      <c r="D332" s="10" cm="1">
        <f t="array" aca="1" ref="D332" ca="1">_xll.nxLibAddTenor(B332,"1BD","F","NewYork")</f>
        <v>55156</v>
      </c>
    </row>
    <row r="333" spans="1:4" x14ac:dyDescent="0.25">
      <c r="A333" s="9">
        <f t="shared" si="17"/>
        <v>331</v>
      </c>
      <c r="B333" s="10">
        <f t="shared" si="16"/>
        <v>55184</v>
      </c>
      <c r="C333" s="10">
        <f t="shared" si="18"/>
        <v>55185</v>
      </c>
      <c r="D333" s="10" cm="1">
        <f t="array" aca="1" ref="D333" ca="1">_xll.nxLibAddTenor(B333,"1BD","F","NewYork")</f>
        <v>55185</v>
      </c>
    </row>
    <row r="334" spans="1:4" x14ac:dyDescent="0.25">
      <c r="A334" s="9">
        <f t="shared" si="17"/>
        <v>332</v>
      </c>
      <c r="B334" s="10">
        <f t="shared" si="16"/>
        <v>55212</v>
      </c>
      <c r="C334" s="10">
        <f t="shared" si="18"/>
        <v>55213</v>
      </c>
      <c r="D334" s="10" cm="1">
        <f t="array" aca="1" ref="D334" ca="1">_xll.nxLibAddTenor(B334,"1BD","F","NewYork")</f>
        <v>55213</v>
      </c>
    </row>
    <row r="335" spans="1:4" x14ac:dyDescent="0.25">
      <c r="A335" s="9">
        <f t="shared" si="17"/>
        <v>333</v>
      </c>
      <c r="B335" s="10">
        <f t="shared" si="16"/>
        <v>55243</v>
      </c>
      <c r="C335" s="10">
        <f t="shared" si="18"/>
        <v>55244</v>
      </c>
      <c r="D335" s="10" cm="1">
        <f t="array" aca="1" ref="D335" ca="1">_xll.nxLibAddTenor(B335,"1BD","F","NewYork")</f>
        <v>55246</v>
      </c>
    </row>
    <row r="336" spans="1:4" x14ac:dyDescent="0.25">
      <c r="A336" s="9">
        <f t="shared" si="17"/>
        <v>334</v>
      </c>
      <c r="B336" s="10">
        <f t="shared" si="16"/>
        <v>55273</v>
      </c>
      <c r="C336" s="10">
        <f t="shared" si="18"/>
        <v>55274</v>
      </c>
      <c r="D336" s="10" cm="1">
        <f t="array" aca="1" ref="D336" ca="1">_xll.nxLibAddTenor(B336,"1BD","F","NewYork")</f>
        <v>55274</v>
      </c>
    </row>
    <row r="337" spans="1:4" x14ac:dyDescent="0.25">
      <c r="A337" s="9">
        <f t="shared" si="17"/>
        <v>335</v>
      </c>
      <c r="B337" s="10">
        <f t="shared" si="16"/>
        <v>55304</v>
      </c>
      <c r="C337" s="10">
        <f t="shared" si="18"/>
        <v>55305</v>
      </c>
      <c r="D337" s="10" cm="1">
        <f t="array" aca="1" ref="D337" ca="1">_xll.nxLibAddTenor(B337,"1BD","F","NewYork")</f>
        <v>55305</v>
      </c>
    </row>
    <row r="338" spans="1:4" x14ac:dyDescent="0.25">
      <c r="A338" s="9">
        <f t="shared" si="17"/>
        <v>336</v>
      </c>
      <c r="B338" s="10">
        <f t="shared" si="16"/>
        <v>55334</v>
      </c>
      <c r="C338" s="10">
        <f t="shared" si="18"/>
        <v>55335</v>
      </c>
      <c r="D338" s="10" cm="1">
        <f t="array" aca="1" ref="D338" ca="1">_xll.nxLibAddTenor(B338,"1BD","F","NewYork")</f>
        <v>55337</v>
      </c>
    </row>
    <row r="339" spans="1:4" x14ac:dyDescent="0.25">
      <c r="A339" s="9">
        <f t="shared" si="17"/>
        <v>337</v>
      </c>
      <c r="B339" s="10">
        <f t="shared" si="16"/>
        <v>55365</v>
      </c>
      <c r="C339" s="10">
        <f t="shared" si="18"/>
        <v>55366</v>
      </c>
      <c r="D339" s="10" cm="1">
        <f t="array" aca="1" ref="D339" ca="1">_xll.nxLibAddTenor(B339,"1BD","F","NewYork")</f>
        <v>55366</v>
      </c>
    </row>
    <row r="340" spans="1:4" x14ac:dyDescent="0.25">
      <c r="A340" s="9">
        <f t="shared" si="17"/>
        <v>338</v>
      </c>
      <c r="B340" s="10">
        <f t="shared" si="16"/>
        <v>55396</v>
      </c>
      <c r="C340" s="10">
        <f t="shared" si="18"/>
        <v>55397</v>
      </c>
      <c r="D340" s="10" cm="1">
        <f t="array" aca="1" ref="D340" ca="1">_xll.nxLibAddTenor(B340,"1BD","F","NewYork")</f>
        <v>55397</v>
      </c>
    </row>
    <row r="341" spans="1:4" x14ac:dyDescent="0.25">
      <c r="A341" s="9">
        <f t="shared" si="17"/>
        <v>339</v>
      </c>
      <c r="B341" s="10">
        <f t="shared" si="16"/>
        <v>55426</v>
      </c>
      <c r="C341" s="10">
        <f t="shared" si="18"/>
        <v>55427</v>
      </c>
      <c r="D341" s="10" cm="1">
        <f t="array" aca="1" ref="D341" ca="1">_xll.nxLibAddTenor(B341,"1BD","F","NewYork")</f>
        <v>55428</v>
      </c>
    </row>
    <row r="342" spans="1:4" x14ac:dyDescent="0.25">
      <c r="A342" s="9">
        <f t="shared" si="17"/>
        <v>340</v>
      </c>
      <c r="B342" s="10">
        <f t="shared" si="16"/>
        <v>55457</v>
      </c>
      <c r="C342" s="10">
        <f t="shared" si="18"/>
        <v>55458</v>
      </c>
      <c r="D342" s="10" cm="1">
        <f t="array" aca="1" ref="D342" ca="1">_xll.nxLibAddTenor(B342,"1BD","F","NewYork")</f>
        <v>55458</v>
      </c>
    </row>
    <row r="343" spans="1:4" x14ac:dyDescent="0.25">
      <c r="A343" s="9">
        <f t="shared" si="17"/>
        <v>341</v>
      </c>
      <c r="B343" s="10">
        <f t="shared" si="16"/>
        <v>55487</v>
      </c>
      <c r="C343" s="10">
        <f t="shared" si="18"/>
        <v>55488</v>
      </c>
      <c r="D343" s="10" cm="1">
        <f t="array" aca="1" ref="D343" ca="1">_xll.nxLibAddTenor(B343,"1BD","F","NewYork")</f>
        <v>55488</v>
      </c>
    </row>
    <row r="344" spans="1:4" x14ac:dyDescent="0.25">
      <c r="A344" s="9">
        <f t="shared" si="17"/>
        <v>342</v>
      </c>
      <c r="B344" s="10">
        <f t="shared" si="16"/>
        <v>55518</v>
      </c>
      <c r="C344" s="10">
        <f t="shared" si="18"/>
        <v>55519</v>
      </c>
      <c r="D344" s="10" cm="1">
        <f t="array" aca="1" ref="D344" ca="1">_xll.nxLibAddTenor(B344,"1BD","F","NewYork")</f>
        <v>55520</v>
      </c>
    </row>
    <row r="345" spans="1:4" x14ac:dyDescent="0.25">
      <c r="A345" s="9">
        <f t="shared" si="17"/>
        <v>343</v>
      </c>
      <c r="B345" s="10">
        <f t="shared" si="16"/>
        <v>55549</v>
      </c>
      <c r="C345" s="10">
        <f t="shared" si="18"/>
        <v>55550</v>
      </c>
      <c r="D345" s="10" cm="1">
        <f t="array" aca="1" ref="D345" ca="1">_xll.nxLibAddTenor(B345,"1BD","F","NewYork")</f>
        <v>55550</v>
      </c>
    </row>
    <row r="346" spans="1:4" x14ac:dyDescent="0.25">
      <c r="A346" s="9">
        <f t="shared" si="17"/>
        <v>344</v>
      </c>
      <c r="B346" s="10">
        <f t="shared" si="16"/>
        <v>55578</v>
      </c>
      <c r="C346" s="10">
        <f t="shared" si="18"/>
        <v>55579</v>
      </c>
      <c r="D346" s="10" cm="1">
        <f t="array" aca="1" ref="D346" ca="1">_xll.nxLibAddTenor(B346,"1BD","F","NewYork")</f>
        <v>55579</v>
      </c>
    </row>
    <row r="347" spans="1:4" x14ac:dyDescent="0.25">
      <c r="A347" s="9">
        <f t="shared" si="17"/>
        <v>345</v>
      </c>
      <c r="B347" s="10">
        <f t="shared" si="16"/>
        <v>55609</v>
      </c>
      <c r="C347" s="10">
        <f t="shared" si="18"/>
        <v>55610</v>
      </c>
      <c r="D347" s="10" cm="1">
        <f t="array" aca="1" ref="D347" ca="1">_xll.nxLibAddTenor(B347,"1BD","F","NewYork")</f>
        <v>55610</v>
      </c>
    </row>
    <row r="348" spans="1:4" x14ac:dyDescent="0.25">
      <c r="A348" s="9">
        <f t="shared" si="17"/>
        <v>346</v>
      </c>
      <c r="B348" s="10">
        <f t="shared" si="16"/>
        <v>55639</v>
      </c>
      <c r="C348" s="10">
        <f t="shared" si="18"/>
        <v>55640</v>
      </c>
      <c r="D348" s="10" cm="1">
        <f t="array" aca="1" ref="D348" ca="1">_xll.nxLibAddTenor(B348,"1BD","F","NewYork")</f>
        <v>55640</v>
      </c>
    </row>
    <row r="349" spans="1:4" x14ac:dyDescent="0.25">
      <c r="A349" s="9">
        <f t="shared" si="17"/>
        <v>347</v>
      </c>
      <c r="B349" s="10">
        <f t="shared" si="16"/>
        <v>55670</v>
      </c>
      <c r="C349" s="10">
        <f t="shared" si="18"/>
        <v>55671</v>
      </c>
      <c r="D349" s="10" cm="1">
        <f t="array" aca="1" ref="D349" ca="1">_xll.nxLibAddTenor(B349,"1BD","F","NewYork")</f>
        <v>55673</v>
      </c>
    </row>
    <row r="350" spans="1:4" x14ac:dyDescent="0.25">
      <c r="A350" s="9">
        <f t="shared" si="17"/>
        <v>348</v>
      </c>
      <c r="B350" s="10">
        <f t="shared" si="16"/>
        <v>55700</v>
      </c>
      <c r="C350" s="10">
        <f t="shared" si="18"/>
        <v>55701</v>
      </c>
      <c r="D350" s="10" cm="1">
        <f t="array" aca="1" ref="D350" ca="1">_xll.nxLibAddTenor(B350,"1BD","F","NewYork")</f>
        <v>55701</v>
      </c>
    </row>
    <row r="351" spans="1:4" x14ac:dyDescent="0.25">
      <c r="A351" s="9">
        <f t="shared" si="17"/>
        <v>349</v>
      </c>
      <c r="B351" s="10">
        <f t="shared" si="16"/>
        <v>55731</v>
      </c>
      <c r="C351" s="10">
        <f t="shared" si="18"/>
        <v>55732</v>
      </c>
      <c r="D351" s="10" cm="1">
        <f t="array" aca="1" ref="D351" ca="1">_xll.nxLibAddTenor(B351,"1BD","F","NewYork")</f>
        <v>55732</v>
      </c>
    </row>
    <row r="352" spans="1:4" x14ac:dyDescent="0.25">
      <c r="A352" s="9">
        <f t="shared" si="17"/>
        <v>350</v>
      </c>
      <c r="B352" s="10">
        <f t="shared" si="16"/>
        <v>55762</v>
      </c>
      <c r="C352" s="10">
        <f t="shared" si="18"/>
        <v>55763</v>
      </c>
      <c r="D352" s="10" cm="1">
        <f t="array" aca="1" ref="D352" ca="1">_xll.nxLibAddTenor(B352,"1BD","F","NewYork")</f>
        <v>55765</v>
      </c>
    </row>
    <row r="353" spans="1:4" x14ac:dyDescent="0.25">
      <c r="A353" s="9">
        <f t="shared" si="17"/>
        <v>351</v>
      </c>
      <c r="B353" s="10">
        <f t="shared" si="16"/>
        <v>55792</v>
      </c>
      <c r="C353" s="10">
        <f t="shared" si="18"/>
        <v>55793</v>
      </c>
      <c r="D353" s="10" cm="1">
        <f t="array" aca="1" ref="D353" ca="1">_xll.nxLibAddTenor(B353,"1BD","F","NewYork")</f>
        <v>55793</v>
      </c>
    </row>
    <row r="354" spans="1:4" x14ac:dyDescent="0.25">
      <c r="A354" s="9">
        <f t="shared" si="17"/>
        <v>352</v>
      </c>
      <c r="B354" s="10">
        <f t="shared" si="16"/>
        <v>55823</v>
      </c>
      <c r="C354" s="10">
        <f t="shared" si="18"/>
        <v>55824</v>
      </c>
      <c r="D354" s="10" cm="1">
        <f t="array" aca="1" ref="D354" ca="1">_xll.nxLibAddTenor(B354,"1BD","F","NewYork")</f>
        <v>55824</v>
      </c>
    </row>
    <row r="355" spans="1:4" x14ac:dyDescent="0.25">
      <c r="A355" s="9">
        <f t="shared" si="17"/>
        <v>353</v>
      </c>
      <c r="B355" s="10">
        <f t="shared" si="16"/>
        <v>55853</v>
      </c>
      <c r="C355" s="10">
        <f t="shared" si="18"/>
        <v>55854</v>
      </c>
      <c r="D355" s="10" cm="1">
        <f t="array" aca="1" ref="D355" ca="1">_xll.nxLibAddTenor(B355,"1BD","F","NewYork")</f>
        <v>55855</v>
      </c>
    </row>
    <row r="356" spans="1:4" x14ac:dyDescent="0.25">
      <c r="A356" s="9">
        <f t="shared" si="17"/>
        <v>354</v>
      </c>
      <c r="B356" s="10">
        <f t="shared" si="16"/>
        <v>55884</v>
      </c>
      <c r="C356" s="10">
        <f t="shared" si="18"/>
        <v>55885</v>
      </c>
      <c r="D356" s="10" cm="1">
        <f t="array" aca="1" ref="D356" ca="1">_xll.nxLibAddTenor(B356,"1BD","F","NewYork")</f>
        <v>55886</v>
      </c>
    </row>
    <row r="357" spans="1:4" x14ac:dyDescent="0.25">
      <c r="A357" s="9">
        <f t="shared" si="17"/>
        <v>355</v>
      </c>
      <c r="B357" s="10">
        <f t="shared" si="16"/>
        <v>55915</v>
      </c>
      <c r="C357" s="10">
        <f t="shared" si="18"/>
        <v>55916</v>
      </c>
      <c r="D357" s="10" cm="1">
        <f t="array" aca="1" ref="D357" ca="1">_xll.nxLibAddTenor(B357,"1BD","F","NewYork")</f>
        <v>55918</v>
      </c>
    </row>
    <row r="358" spans="1:4" x14ac:dyDescent="0.25">
      <c r="A358" s="9">
        <f t="shared" si="17"/>
        <v>356</v>
      </c>
      <c r="B358" s="10">
        <f t="shared" si="16"/>
        <v>55943</v>
      </c>
      <c r="C358" s="10">
        <f t="shared" si="18"/>
        <v>55944</v>
      </c>
      <c r="D358" s="10" cm="1">
        <f t="array" aca="1" ref="D358" ca="1">_xll.nxLibAddTenor(B358,"1BD","F","NewYork")</f>
        <v>55946</v>
      </c>
    </row>
    <row r="359" spans="1:4" x14ac:dyDescent="0.25">
      <c r="A359" s="9">
        <f t="shared" si="17"/>
        <v>357</v>
      </c>
      <c r="B359" s="10">
        <f t="shared" si="16"/>
        <v>55974</v>
      </c>
      <c r="C359" s="10">
        <f t="shared" si="18"/>
        <v>55975</v>
      </c>
      <c r="D359" s="10" cm="1">
        <f t="array" aca="1" ref="D359" ca="1">_xll.nxLibAddTenor(B359,"1BD","F","NewYork")</f>
        <v>55975</v>
      </c>
    </row>
    <row r="360" spans="1:4" x14ac:dyDescent="0.25">
      <c r="A360" s="9">
        <f t="shared" si="17"/>
        <v>358</v>
      </c>
      <c r="B360" s="10">
        <f t="shared" si="16"/>
        <v>56004</v>
      </c>
      <c r="C360" s="10">
        <f t="shared" si="18"/>
        <v>56005</v>
      </c>
      <c r="D360" s="10" cm="1">
        <f t="array" aca="1" ref="D360" ca="1">_xll.nxLibAddTenor(B360,"1BD","F","NewYork")</f>
        <v>56005</v>
      </c>
    </row>
    <row r="361" spans="1:4" x14ac:dyDescent="0.25">
      <c r="A361" s="9">
        <f t="shared" si="17"/>
        <v>359</v>
      </c>
      <c r="B361" s="10">
        <f t="shared" si="16"/>
        <v>56035</v>
      </c>
      <c r="C361" s="10">
        <f t="shared" si="18"/>
        <v>56036</v>
      </c>
      <c r="D361" s="10" cm="1">
        <f t="array" aca="1" ref="D361" ca="1">_xll.nxLibAddTenor(B361,"1BD","F","NewYork")</f>
        <v>56037</v>
      </c>
    </row>
    <row r="362" spans="1:4" x14ac:dyDescent="0.25">
      <c r="A362" s="9">
        <f t="shared" ref="A362" si="19">1+A361</f>
        <v>360</v>
      </c>
      <c r="B362" s="10">
        <f t="shared" si="16"/>
        <v>56065</v>
      </c>
      <c r="C362" s="10">
        <f t="shared" si="18"/>
        <v>56066</v>
      </c>
      <c r="D362" s="10" cm="1">
        <f t="array" aca="1" ref="D362" ca="1">_xll.nxLibAddTenor(B362,"1BD","F","NewYork")</f>
        <v>56066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BF75B-5A1D-4B67-BC99-71B953124768}">
  <sheetPr codeName="Sheet5"/>
  <dimension ref="C2:L23"/>
  <sheetViews>
    <sheetView showGridLines="0" workbookViewId="0">
      <selection activeCell="D23" sqref="D23"/>
    </sheetView>
  </sheetViews>
  <sheetFormatPr defaultRowHeight="15" x14ac:dyDescent="0.25"/>
  <cols>
    <col min="3" max="3" width="21.85546875" bestFit="1" customWidth="1"/>
    <col min="4" max="4" width="10.85546875" bestFit="1" customWidth="1"/>
    <col min="7" max="7" width="14.28515625" bestFit="1" customWidth="1"/>
    <col min="8" max="8" width="21.85546875" bestFit="1" customWidth="1"/>
    <col min="9" max="10" width="14.28515625" bestFit="1" customWidth="1"/>
  </cols>
  <sheetData>
    <row r="2" spans="3:12" x14ac:dyDescent="0.25">
      <c r="C2" t="s">
        <v>35</v>
      </c>
      <c r="D2" s="9" t="s">
        <v>36</v>
      </c>
      <c r="H2" t="s">
        <v>35</v>
      </c>
      <c r="I2" s="9" t="s">
        <v>36</v>
      </c>
      <c r="K2" t="s">
        <v>35</v>
      </c>
      <c r="L2" s="9" t="s">
        <v>36</v>
      </c>
    </row>
    <row r="4" spans="3:12" x14ac:dyDescent="0.25">
      <c r="C4" s="9" t="s">
        <v>0</v>
      </c>
      <c r="D4" s="1" t="s">
        <v>0</v>
      </c>
      <c r="H4" t="s">
        <v>1</v>
      </c>
      <c r="I4" t="s">
        <v>1</v>
      </c>
      <c r="K4" t="s">
        <v>2</v>
      </c>
      <c r="L4" t="s">
        <v>2</v>
      </c>
    </row>
    <row r="5" spans="3:12" x14ac:dyDescent="0.25">
      <c r="D5" s="5">
        <v>45110</v>
      </c>
      <c r="H5" t="s">
        <v>27</v>
      </c>
      <c r="I5" s="12" t="s">
        <v>27</v>
      </c>
      <c r="K5" t="s">
        <v>13</v>
      </c>
      <c r="L5" t="s">
        <v>13</v>
      </c>
    </row>
    <row r="6" spans="3:12" x14ac:dyDescent="0.25">
      <c r="D6" s="5">
        <v>45139</v>
      </c>
      <c r="H6" t="s">
        <v>30</v>
      </c>
      <c r="I6" s="12" t="s">
        <v>30</v>
      </c>
      <c r="K6" t="s">
        <v>16</v>
      </c>
      <c r="L6" t="s">
        <v>16</v>
      </c>
    </row>
    <row r="7" spans="3:12" x14ac:dyDescent="0.25">
      <c r="D7" s="5">
        <v>45170</v>
      </c>
      <c r="H7" t="s">
        <v>12</v>
      </c>
      <c r="I7" s="12" t="s">
        <v>12</v>
      </c>
      <c r="K7" t="s">
        <v>17</v>
      </c>
      <c r="L7" t="s">
        <v>17</v>
      </c>
    </row>
    <row r="8" spans="3:12" x14ac:dyDescent="0.25">
      <c r="C8" s="10">
        <v>45201</v>
      </c>
      <c r="D8" s="5">
        <v>45201</v>
      </c>
      <c r="H8" t="s">
        <v>15</v>
      </c>
      <c r="I8" s="12" t="s">
        <v>15</v>
      </c>
      <c r="K8" t="s">
        <v>21</v>
      </c>
      <c r="L8" t="s">
        <v>21</v>
      </c>
    </row>
    <row r="9" spans="3:12" x14ac:dyDescent="0.25">
      <c r="C9" s="10">
        <v>45231</v>
      </c>
      <c r="D9" s="5">
        <v>45231</v>
      </c>
      <c r="H9" t="s">
        <v>19</v>
      </c>
      <c r="I9" s="12" t="s">
        <v>19</v>
      </c>
      <c r="K9" t="s">
        <v>22</v>
      </c>
      <c r="L9" t="s">
        <v>22</v>
      </c>
    </row>
    <row r="10" spans="3:12" x14ac:dyDescent="0.25">
      <c r="C10" s="10">
        <v>45261</v>
      </c>
      <c r="D10" s="5">
        <v>45261</v>
      </c>
      <c r="H10" t="s">
        <v>29</v>
      </c>
      <c r="I10" s="12" t="s">
        <v>29</v>
      </c>
      <c r="K10" t="s">
        <v>18</v>
      </c>
      <c r="L10" t="s">
        <v>18</v>
      </c>
    </row>
    <row r="11" spans="3:12" x14ac:dyDescent="0.25">
      <c r="C11" s="10">
        <v>45293</v>
      </c>
      <c r="D11" s="11">
        <v>45292</v>
      </c>
      <c r="H11" t="s">
        <v>28</v>
      </c>
      <c r="I11" s="12" t="s">
        <v>28</v>
      </c>
      <c r="K11" t="s">
        <v>24</v>
      </c>
      <c r="L11" t="s">
        <v>24</v>
      </c>
    </row>
    <row r="12" spans="3:12" x14ac:dyDescent="0.25">
      <c r="C12" s="10">
        <v>45323</v>
      </c>
      <c r="D12" s="5">
        <v>45323</v>
      </c>
      <c r="H12" t="s">
        <v>20</v>
      </c>
      <c r="I12" s="12" t="s">
        <v>20</v>
      </c>
      <c r="K12" t="s">
        <v>25</v>
      </c>
      <c r="L12" t="s">
        <v>25</v>
      </c>
    </row>
    <row r="13" spans="3:12" x14ac:dyDescent="0.25">
      <c r="C13" s="10">
        <v>45352</v>
      </c>
      <c r="D13" s="5">
        <v>45352</v>
      </c>
      <c r="H13" t="s">
        <v>23</v>
      </c>
      <c r="I13" s="12" t="s">
        <v>23</v>
      </c>
    </row>
    <row r="14" spans="3:12" x14ac:dyDescent="0.25">
      <c r="C14" s="10">
        <v>45383</v>
      </c>
      <c r="D14" s="5">
        <v>45383</v>
      </c>
      <c r="H14" t="s">
        <v>26</v>
      </c>
      <c r="I14" s="12" t="s">
        <v>26</v>
      </c>
    </row>
    <row r="15" spans="3:12" x14ac:dyDescent="0.25">
      <c r="C15" s="10">
        <v>45413</v>
      </c>
      <c r="D15" s="5">
        <v>45413</v>
      </c>
    </row>
    <row r="16" spans="3:12" x14ac:dyDescent="0.25">
      <c r="C16" s="10">
        <v>45446</v>
      </c>
      <c r="D16" s="5">
        <v>45446</v>
      </c>
    </row>
    <row r="17" spans="3:4" x14ac:dyDescent="0.25">
      <c r="C17" s="10">
        <v>45474</v>
      </c>
      <c r="D17" s="5">
        <v>45474</v>
      </c>
    </row>
    <row r="18" spans="3:4" x14ac:dyDescent="0.25">
      <c r="C18" s="10">
        <v>45505</v>
      </c>
      <c r="D18" s="5">
        <v>45505</v>
      </c>
    </row>
    <row r="19" spans="3:4" x14ac:dyDescent="0.25">
      <c r="C19" s="10">
        <v>45538</v>
      </c>
      <c r="D19" s="11">
        <v>45537</v>
      </c>
    </row>
    <row r="20" spans="3:4" x14ac:dyDescent="0.25">
      <c r="C20" s="10">
        <v>45566</v>
      </c>
      <c r="D20" s="5">
        <v>45566</v>
      </c>
    </row>
    <row r="21" spans="3:4" x14ac:dyDescent="0.25">
      <c r="C21" s="10">
        <v>45597</v>
      </c>
      <c r="D21" s="5">
        <v>45597</v>
      </c>
    </row>
    <row r="22" spans="3:4" x14ac:dyDescent="0.25">
      <c r="D22" s="5">
        <v>45628</v>
      </c>
    </row>
    <row r="23" spans="3:4" x14ac:dyDescent="0.25">
      <c r="D23" s="11">
        <v>45658</v>
      </c>
    </row>
  </sheetData>
  <sortState xmlns:xlrd2="http://schemas.microsoft.com/office/spreadsheetml/2017/richdata2" ref="K5:K12">
    <sortCondition ref="K5:K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528F8-EC13-4EFE-AE86-63AB4C056C20}">
  <dimension ref="C2:AS70"/>
  <sheetViews>
    <sheetView showGridLines="0" workbookViewId="0">
      <selection activeCell="AI28" sqref="AI28"/>
    </sheetView>
  </sheetViews>
  <sheetFormatPr defaultRowHeight="15" x14ac:dyDescent="0.25"/>
  <cols>
    <col min="3" max="3" width="14" bestFit="1" customWidth="1"/>
    <col min="4" max="4" width="16.28515625" bestFit="1" customWidth="1"/>
    <col min="5" max="5" width="7.28515625" bestFit="1" customWidth="1"/>
    <col min="6" max="8" width="7.140625" bestFit="1" customWidth="1"/>
    <col min="9" max="9" width="9.5703125" bestFit="1" customWidth="1"/>
    <col min="10" max="10" width="8.42578125" bestFit="1" customWidth="1"/>
    <col min="11" max="13" width="7.140625" bestFit="1" customWidth="1"/>
    <col min="14" max="14" width="9.28515625" bestFit="1" customWidth="1"/>
    <col min="15" max="15" width="7.140625" bestFit="1" customWidth="1"/>
    <col min="16" max="16" width="9.5703125" bestFit="1" customWidth="1"/>
    <col min="17" max="17" width="8.42578125" bestFit="1" customWidth="1"/>
    <col min="18" max="18" width="9.140625" bestFit="1" customWidth="1"/>
    <col min="19" max="19" width="7.28515625" bestFit="1" customWidth="1"/>
    <col min="20" max="21" width="7.140625" bestFit="1" customWidth="1"/>
    <col min="22" max="22" width="9.5703125" bestFit="1" customWidth="1"/>
    <col min="23" max="23" width="8.42578125" bestFit="1" customWidth="1"/>
    <col min="24" max="26" width="7.140625" bestFit="1" customWidth="1"/>
    <col min="27" max="27" width="9.85546875" bestFit="1" customWidth="1"/>
    <col min="28" max="29" width="7.140625" bestFit="1" customWidth="1"/>
    <col min="30" max="30" width="10.140625" bestFit="1" customWidth="1"/>
    <col min="31" max="32" width="7.140625" bestFit="1" customWidth="1"/>
    <col min="33" max="33" width="9.28515625" bestFit="1" customWidth="1"/>
    <col min="34" max="34" width="7.140625" bestFit="1" customWidth="1"/>
    <col min="35" max="35" width="9.5703125" bestFit="1" customWidth="1"/>
    <col min="36" max="36" width="8.42578125" bestFit="1" customWidth="1"/>
    <col min="37" max="37" width="10.5703125" bestFit="1" customWidth="1"/>
    <col min="38" max="38" width="7.28515625" bestFit="1" customWidth="1"/>
    <col min="39" max="40" width="7.140625" bestFit="1" customWidth="1"/>
    <col min="41" max="41" width="9.5703125" bestFit="1" customWidth="1"/>
    <col min="42" max="42" width="7.28515625" bestFit="1" customWidth="1"/>
    <col min="43" max="44" width="7.140625" bestFit="1" customWidth="1"/>
    <col min="45" max="45" width="11.28515625" bestFit="1" customWidth="1"/>
    <col min="46" max="46" width="7.140625" bestFit="1" customWidth="1"/>
    <col min="47" max="47" width="13.5703125" bestFit="1" customWidth="1"/>
    <col min="48" max="48" width="9.5703125" bestFit="1" customWidth="1"/>
    <col min="49" max="49" width="7.28515625" bestFit="1" customWidth="1"/>
    <col min="50" max="51" width="7.140625" bestFit="1" customWidth="1"/>
    <col min="52" max="52" width="12.5703125" bestFit="1" customWidth="1"/>
    <col min="53" max="53" width="11.28515625" bestFit="1" customWidth="1"/>
  </cols>
  <sheetData>
    <row r="2" spans="3:44" x14ac:dyDescent="0.25">
      <c r="C2" t="s">
        <v>73</v>
      </c>
      <c r="D2" s="31" t="s">
        <v>74</v>
      </c>
    </row>
    <row r="4" spans="3:44" x14ac:dyDescent="0.25">
      <c r="C4" s="27" t="s">
        <v>70</v>
      </c>
      <c r="D4" s="27" t="s">
        <v>69</v>
      </c>
    </row>
    <row r="5" spans="3:44" x14ac:dyDescent="0.25">
      <c r="D5" t="s">
        <v>13</v>
      </c>
      <c r="N5" t="s">
        <v>16</v>
      </c>
      <c r="R5" t="s">
        <v>17</v>
      </c>
      <c r="AA5" t="s">
        <v>21</v>
      </c>
      <c r="AD5" t="s">
        <v>22</v>
      </c>
      <c r="AG5" t="s">
        <v>18</v>
      </c>
      <c r="AK5" t="s">
        <v>24</v>
      </c>
      <c r="AO5" t="s">
        <v>25</v>
      </c>
    </row>
    <row r="6" spans="3:44" x14ac:dyDescent="0.25">
      <c r="C6" s="27" t="s">
        <v>67</v>
      </c>
      <c r="D6" t="s">
        <v>27</v>
      </c>
      <c r="E6" t="s">
        <v>30</v>
      </c>
      <c r="F6" t="s">
        <v>12</v>
      </c>
      <c r="G6" t="s">
        <v>15</v>
      </c>
      <c r="H6" t="s">
        <v>19</v>
      </c>
      <c r="I6" t="s">
        <v>29</v>
      </c>
      <c r="J6" t="s">
        <v>28</v>
      </c>
      <c r="K6" t="s">
        <v>20</v>
      </c>
      <c r="L6" t="s">
        <v>23</v>
      </c>
      <c r="M6" t="s">
        <v>26</v>
      </c>
      <c r="N6" t="s">
        <v>15</v>
      </c>
      <c r="O6" t="s">
        <v>19</v>
      </c>
      <c r="P6" t="s">
        <v>29</v>
      </c>
      <c r="Q6" t="s">
        <v>28</v>
      </c>
      <c r="R6" t="s">
        <v>27</v>
      </c>
      <c r="S6" t="s">
        <v>30</v>
      </c>
      <c r="T6" t="s">
        <v>15</v>
      </c>
      <c r="U6" t="s">
        <v>19</v>
      </c>
      <c r="V6" t="s">
        <v>29</v>
      </c>
      <c r="W6" t="s">
        <v>28</v>
      </c>
      <c r="X6" t="s">
        <v>20</v>
      </c>
      <c r="Y6" t="s">
        <v>23</v>
      </c>
      <c r="Z6" t="s">
        <v>26</v>
      </c>
      <c r="AA6" t="s">
        <v>20</v>
      </c>
      <c r="AB6" t="s">
        <v>23</v>
      </c>
      <c r="AC6" t="s">
        <v>26</v>
      </c>
      <c r="AD6" t="s">
        <v>20</v>
      </c>
      <c r="AE6" t="s">
        <v>23</v>
      </c>
      <c r="AF6" t="s">
        <v>26</v>
      </c>
      <c r="AG6" t="s">
        <v>15</v>
      </c>
      <c r="AH6" t="s">
        <v>19</v>
      </c>
      <c r="AI6" t="s">
        <v>29</v>
      </c>
      <c r="AJ6" t="s">
        <v>28</v>
      </c>
      <c r="AK6" t="s">
        <v>27</v>
      </c>
      <c r="AL6" t="s">
        <v>30</v>
      </c>
      <c r="AM6" t="s">
        <v>23</v>
      </c>
      <c r="AN6" t="s">
        <v>26</v>
      </c>
      <c r="AO6" t="s">
        <v>27</v>
      </c>
      <c r="AP6" t="s">
        <v>30</v>
      </c>
      <c r="AQ6" t="s">
        <v>23</v>
      </c>
      <c r="AR6" t="s">
        <v>26</v>
      </c>
    </row>
    <row r="7" spans="3:44" x14ac:dyDescent="0.25">
      <c r="C7" s="28">
        <v>45110</v>
      </c>
      <c r="D7" s="30">
        <v>5.2699999999999997E-2</v>
      </c>
      <c r="E7" s="30"/>
      <c r="F7" s="30">
        <v>5.4800000000000001E-2</v>
      </c>
      <c r="G7" s="30">
        <v>5.4800000000000001E-2</v>
      </c>
      <c r="H7" s="30">
        <v>4.3499999999999997E-2</v>
      </c>
      <c r="I7" s="30">
        <v>4.3499999999999997E-2</v>
      </c>
      <c r="J7" s="30">
        <v>4.8300000000000003E-2</v>
      </c>
      <c r="K7" s="30">
        <v>5.4800000000000001E-2</v>
      </c>
      <c r="L7" s="30">
        <v>5.67E-2</v>
      </c>
      <c r="M7" s="30">
        <v>5.5800000000000002E-2</v>
      </c>
      <c r="N7" s="30">
        <v>3.85E-2</v>
      </c>
      <c r="O7" s="30">
        <v>2.63E-2</v>
      </c>
      <c r="P7" s="30">
        <v>2.0899999999999998E-2</v>
      </c>
      <c r="Q7" s="30">
        <v>2.8799999999999999E-2</v>
      </c>
      <c r="R7" s="30">
        <v>2.6700000000000002E-2</v>
      </c>
      <c r="S7" s="30"/>
      <c r="T7" s="30">
        <v>3.0499999999999999E-2</v>
      </c>
      <c r="U7" s="30">
        <v>2.6700000000000002E-2</v>
      </c>
      <c r="V7" s="30">
        <v>3.5400000000000001E-2</v>
      </c>
      <c r="W7" s="30">
        <v>4.0500000000000001E-2</v>
      </c>
      <c r="X7" s="30">
        <v>3.0499999999999999E-2</v>
      </c>
      <c r="Y7" s="30">
        <v>3.0499999999999999E-2</v>
      </c>
      <c r="Z7" s="30">
        <v>3.0499999999999999E-2</v>
      </c>
      <c r="AA7" s="30">
        <v>6.2E-2</v>
      </c>
      <c r="AB7" s="30">
        <v>6.2E-2</v>
      </c>
      <c r="AC7" s="30">
        <v>6.2E-2</v>
      </c>
      <c r="AD7" s="30">
        <v>6.2E-2</v>
      </c>
      <c r="AE7" s="30">
        <v>6.2E-2</v>
      </c>
      <c r="AF7" s="30">
        <v>6.2E-2</v>
      </c>
      <c r="AG7" s="30">
        <v>5.3499999999999999E-2</v>
      </c>
      <c r="AH7" s="30">
        <v>4.2799999999999998E-2</v>
      </c>
      <c r="AI7" s="30">
        <v>4.2500000000000003E-2</v>
      </c>
      <c r="AJ7" s="30">
        <v>4.9599999999999998E-2</v>
      </c>
      <c r="AK7" s="30">
        <v>2.2200000000000001E-2</v>
      </c>
      <c r="AL7" s="30"/>
      <c r="AM7" s="30">
        <v>2.4299999999999999E-2</v>
      </c>
      <c r="AN7" s="30">
        <v>2.4299999999999999E-2</v>
      </c>
      <c r="AO7" s="30">
        <v>5.11E-2</v>
      </c>
      <c r="AP7" s="30"/>
      <c r="AQ7" s="30">
        <v>5.5399999999999998E-2</v>
      </c>
      <c r="AR7" s="30">
        <v>5.4399999999999997E-2</v>
      </c>
    </row>
    <row r="8" spans="3:44" x14ac:dyDescent="0.25">
      <c r="C8" s="28">
        <v>45139</v>
      </c>
      <c r="D8" s="30">
        <v>5.3499999999999999E-2</v>
      </c>
      <c r="E8" s="30"/>
      <c r="F8" s="30">
        <v>5.5599999999999997E-2</v>
      </c>
      <c r="G8" s="30">
        <v>5.5599999999999997E-2</v>
      </c>
      <c r="H8" s="30">
        <v>4.4400000000000002E-2</v>
      </c>
      <c r="I8" s="30">
        <v>4.4400000000000002E-2</v>
      </c>
      <c r="J8" s="30">
        <v>4.9099999999999998E-2</v>
      </c>
      <c r="K8" s="30">
        <v>5.5599999999999997E-2</v>
      </c>
      <c r="L8" s="30">
        <v>5.7500000000000002E-2</v>
      </c>
      <c r="M8" s="30">
        <v>5.6599999999999998E-2</v>
      </c>
      <c r="N8" s="30">
        <v>3.9100000000000003E-2</v>
      </c>
      <c r="O8" s="30">
        <v>2.6800000000000001E-2</v>
      </c>
      <c r="P8" s="30">
        <v>2.1299999999999999E-2</v>
      </c>
      <c r="Q8" s="30">
        <v>2.9399999999999999E-2</v>
      </c>
      <c r="R8" s="30">
        <v>3.15E-2</v>
      </c>
      <c r="S8" s="30"/>
      <c r="T8" s="30">
        <v>3.61E-2</v>
      </c>
      <c r="U8" s="30">
        <v>2.3599999999999999E-2</v>
      </c>
      <c r="V8" s="30">
        <v>3.2199999999999999E-2</v>
      </c>
      <c r="W8" s="30">
        <v>3.73E-2</v>
      </c>
      <c r="X8" s="30">
        <v>3.61E-2</v>
      </c>
      <c r="Y8" s="30">
        <v>3.61E-2</v>
      </c>
      <c r="Z8" s="30">
        <v>3.61E-2</v>
      </c>
      <c r="AA8" s="30">
        <v>6.2600000000000003E-2</v>
      </c>
      <c r="AB8" s="30">
        <v>6.2600000000000003E-2</v>
      </c>
      <c r="AC8" s="30">
        <v>6.2600000000000003E-2</v>
      </c>
      <c r="AD8" s="30">
        <v>6.2600000000000003E-2</v>
      </c>
      <c r="AE8" s="30">
        <v>6.2600000000000003E-2</v>
      </c>
      <c r="AF8" s="30">
        <v>6.2600000000000003E-2</v>
      </c>
      <c r="AG8" s="30">
        <v>5.4600000000000003E-2</v>
      </c>
      <c r="AH8" s="30">
        <v>4.3700000000000003E-2</v>
      </c>
      <c r="AI8" s="30">
        <v>4.3299999999999998E-2</v>
      </c>
      <c r="AJ8" s="30">
        <v>5.0599999999999999E-2</v>
      </c>
      <c r="AK8" s="30">
        <v>2.2100000000000002E-2</v>
      </c>
      <c r="AL8" s="30"/>
      <c r="AM8" s="30">
        <v>2.4299999999999999E-2</v>
      </c>
      <c r="AN8" s="30">
        <v>2.4199999999999999E-2</v>
      </c>
      <c r="AO8" s="30">
        <v>5.0500000000000003E-2</v>
      </c>
      <c r="AP8" s="30"/>
      <c r="AQ8" s="30">
        <v>5.4699999999999999E-2</v>
      </c>
      <c r="AR8" s="30">
        <v>5.3699999999999998E-2</v>
      </c>
    </row>
    <row r="9" spans="3:44" x14ac:dyDescent="0.25">
      <c r="C9" s="28">
        <v>45170</v>
      </c>
      <c r="D9" s="30">
        <v>5.21E-2</v>
      </c>
      <c r="E9" s="30"/>
      <c r="F9" s="30">
        <v>5.4399999999999997E-2</v>
      </c>
      <c r="G9" s="30">
        <v>5.4399999999999997E-2</v>
      </c>
      <c r="H9" s="30">
        <v>4.2500000000000003E-2</v>
      </c>
      <c r="I9" s="30">
        <v>4.4999999999999998E-2</v>
      </c>
      <c r="J9" s="30">
        <v>4.8599999999999997E-2</v>
      </c>
      <c r="K9" s="30">
        <v>5.4399999999999997E-2</v>
      </c>
      <c r="L9" s="30">
        <v>5.6500000000000002E-2</v>
      </c>
      <c r="M9" s="30">
        <v>5.5500000000000001E-2</v>
      </c>
      <c r="N9" s="30">
        <v>3.9E-2</v>
      </c>
      <c r="O9" s="30">
        <v>2.64E-2</v>
      </c>
      <c r="P9" s="30">
        <v>2.5000000000000001E-2</v>
      </c>
      <c r="Q9" s="30">
        <v>3.1600000000000003E-2</v>
      </c>
      <c r="R9" s="30">
        <v>4.0300000000000002E-2</v>
      </c>
      <c r="S9" s="30"/>
      <c r="T9" s="30">
        <v>4.5100000000000001E-2</v>
      </c>
      <c r="U9" s="30">
        <v>3.1800000000000002E-2</v>
      </c>
      <c r="V9" s="30">
        <v>4.1700000000000001E-2</v>
      </c>
      <c r="W9" s="30">
        <v>4.6300000000000001E-2</v>
      </c>
      <c r="X9" s="30">
        <v>4.5100000000000001E-2</v>
      </c>
      <c r="Y9" s="30">
        <v>4.5100000000000001E-2</v>
      </c>
      <c r="Z9" s="30">
        <v>4.5100000000000001E-2</v>
      </c>
      <c r="AA9" s="30">
        <v>6.3399999999999998E-2</v>
      </c>
      <c r="AB9" s="30">
        <v>6.3399999999999998E-2</v>
      </c>
      <c r="AC9" s="30">
        <v>6.3399999999999998E-2</v>
      </c>
      <c r="AD9" s="30">
        <v>6.3399999999999998E-2</v>
      </c>
      <c r="AE9" s="30">
        <v>6.3399999999999998E-2</v>
      </c>
      <c r="AF9" s="30">
        <v>6.3399999999999998E-2</v>
      </c>
      <c r="AG9" s="30">
        <v>5.3100000000000001E-2</v>
      </c>
      <c r="AH9" s="30">
        <v>4.2500000000000003E-2</v>
      </c>
      <c r="AI9" s="30">
        <v>4.0399999999999998E-2</v>
      </c>
      <c r="AJ9" s="30">
        <v>4.5999999999999999E-2</v>
      </c>
      <c r="AK9" s="30">
        <v>2.2200000000000001E-2</v>
      </c>
      <c r="AL9" s="30"/>
      <c r="AM9" s="30">
        <v>2.2200000000000001E-2</v>
      </c>
      <c r="AN9" s="30">
        <v>2.2200000000000001E-2</v>
      </c>
      <c r="AO9" s="30">
        <v>4.9700000000000001E-2</v>
      </c>
      <c r="AP9" s="30"/>
      <c r="AQ9" s="30">
        <v>5.4100000000000002E-2</v>
      </c>
      <c r="AR9" s="30">
        <v>5.3100000000000001E-2</v>
      </c>
    </row>
    <row r="10" spans="3:44" x14ac:dyDescent="0.25">
      <c r="C10" s="28">
        <v>45201</v>
      </c>
      <c r="D10" s="30">
        <v>5.1900000000000002E-2</v>
      </c>
      <c r="E10" s="30"/>
      <c r="F10" s="30">
        <v>5.4100000000000002E-2</v>
      </c>
      <c r="G10" s="30">
        <v>5.4100000000000002E-2</v>
      </c>
      <c r="H10" s="30">
        <v>4.2500000000000003E-2</v>
      </c>
      <c r="I10" s="30">
        <v>4.4900000000000002E-2</v>
      </c>
      <c r="J10" s="30">
        <v>4.8500000000000001E-2</v>
      </c>
      <c r="K10" s="30">
        <v>5.4100000000000002E-2</v>
      </c>
      <c r="L10" s="30">
        <v>5.6099999999999997E-2</v>
      </c>
      <c r="M10" s="30">
        <v>5.5100000000000003E-2</v>
      </c>
      <c r="N10" s="30">
        <v>3.8800000000000001E-2</v>
      </c>
      <c r="O10" s="30">
        <v>2.63E-2</v>
      </c>
      <c r="P10" s="30">
        <v>2.5000000000000001E-2</v>
      </c>
      <c r="Q10" s="30">
        <v>3.15E-2</v>
      </c>
      <c r="R10" s="30">
        <v>3.6200000000000003E-2</v>
      </c>
      <c r="S10" s="30"/>
      <c r="T10" s="30">
        <v>4.0899999999999999E-2</v>
      </c>
      <c r="U10" s="30">
        <v>3.6200000000000003E-2</v>
      </c>
      <c r="V10" s="30">
        <v>3.7600000000000001E-2</v>
      </c>
      <c r="W10" s="30">
        <v>4.2099999999999999E-2</v>
      </c>
      <c r="X10" s="30">
        <v>4.0899999999999999E-2</v>
      </c>
      <c r="Y10" s="30">
        <v>4.0899999999999999E-2</v>
      </c>
      <c r="Z10" s="30">
        <v>4.0899999999999999E-2</v>
      </c>
      <c r="AA10" s="30">
        <v>6.2600000000000003E-2</v>
      </c>
      <c r="AB10" s="30">
        <v>6.2600000000000003E-2</v>
      </c>
      <c r="AC10" s="30">
        <v>6.2600000000000003E-2</v>
      </c>
      <c r="AD10" s="30">
        <v>6.2600000000000003E-2</v>
      </c>
      <c r="AE10" s="30">
        <v>6.2600000000000003E-2</v>
      </c>
      <c r="AF10" s="30">
        <v>6.2600000000000003E-2</v>
      </c>
      <c r="AG10" s="30">
        <v>5.4100000000000002E-2</v>
      </c>
      <c r="AH10" s="30">
        <v>4.3299999999999998E-2</v>
      </c>
      <c r="AI10" s="30">
        <v>4.1099999999999998E-2</v>
      </c>
      <c r="AJ10" s="30">
        <v>4.6899999999999997E-2</v>
      </c>
      <c r="AK10" s="30">
        <v>2.23E-2</v>
      </c>
      <c r="AL10" s="30"/>
      <c r="AM10" s="30">
        <v>2.23E-2</v>
      </c>
      <c r="AN10" s="30">
        <v>2.23E-2</v>
      </c>
      <c r="AO10" s="30">
        <v>4.9500000000000002E-2</v>
      </c>
      <c r="AP10" s="30"/>
      <c r="AQ10" s="30">
        <v>5.3800000000000001E-2</v>
      </c>
      <c r="AR10" s="30">
        <v>5.28E-2</v>
      </c>
    </row>
    <row r="11" spans="3:44" x14ac:dyDescent="0.25">
      <c r="C11" s="28">
        <v>45231</v>
      </c>
      <c r="D11" s="30">
        <v>5.1700000000000003E-2</v>
      </c>
      <c r="E11" s="30"/>
      <c r="F11" s="30">
        <v>5.3900000000000003E-2</v>
      </c>
      <c r="G11" s="30">
        <v>5.3900000000000003E-2</v>
      </c>
      <c r="H11" s="30">
        <v>4.2099999999999999E-2</v>
      </c>
      <c r="I11" s="30">
        <v>4.4600000000000001E-2</v>
      </c>
      <c r="J11" s="30">
        <v>4.82E-2</v>
      </c>
      <c r="K11" s="30">
        <v>5.3900000000000003E-2</v>
      </c>
      <c r="L11" s="30">
        <v>5.6099999999999997E-2</v>
      </c>
      <c r="M11" s="30">
        <v>5.5E-2</v>
      </c>
      <c r="N11" s="30">
        <v>3.8600000000000002E-2</v>
      </c>
      <c r="O11" s="30">
        <v>2.6100000000000002E-2</v>
      </c>
      <c r="P11" s="30">
        <v>2.47E-2</v>
      </c>
      <c r="Q11" s="30">
        <v>3.1300000000000001E-2</v>
      </c>
      <c r="R11" s="30">
        <v>4.1599999999999998E-2</v>
      </c>
      <c r="S11" s="30"/>
      <c r="T11" s="30">
        <v>4.6300000000000001E-2</v>
      </c>
      <c r="U11" s="30">
        <v>4.1599999999999998E-2</v>
      </c>
      <c r="V11" s="30">
        <v>4.2999999999999997E-2</v>
      </c>
      <c r="W11" s="30">
        <v>4.7600000000000003E-2</v>
      </c>
      <c r="X11" s="30">
        <v>4.6300000000000001E-2</v>
      </c>
      <c r="Y11" s="30">
        <v>4.6300000000000001E-2</v>
      </c>
      <c r="Z11" s="30">
        <v>4.6300000000000001E-2</v>
      </c>
      <c r="AA11" s="30">
        <v>6.3E-2</v>
      </c>
      <c r="AB11" s="30">
        <v>6.3E-2</v>
      </c>
      <c r="AC11" s="30">
        <v>6.3E-2</v>
      </c>
      <c r="AD11" s="30">
        <v>6.3E-2</v>
      </c>
      <c r="AE11" s="30">
        <v>6.3E-2</v>
      </c>
      <c r="AF11" s="30">
        <v>6.3E-2</v>
      </c>
      <c r="AG11" s="30">
        <v>5.2900000000000003E-2</v>
      </c>
      <c r="AH11" s="30">
        <v>4.2299999999999997E-2</v>
      </c>
      <c r="AI11" s="30">
        <v>4.02E-2</v>
      </c>
      <c r="AJ11" s="30">
        <v>4.5900000000000003E-2</v>
      </c>
      <c r="AK11" s="30">
        <v>2.2200000000000001E-2</v>
      </c>
      <c r="AL11" s="30"/>
      <c r="AM11" s="30">
        <v>2.2200000000000001E-2</v>
      </c>
      <c r="AN11" s="30">
        <v>2.2200000000000001E-2</v>
      </c>
      <c r="AO11" s="30">
        <v>4.9599999999999998E-2</v>
      </c>
      <c r="AP11" s="30"/>
      <c r="AQ11" s="30">
        <v>5.4100000000000002E-2</v>
      </c>
      <c r="AR11" s="30">
        <v>5.2999999999999999E-2</v>
      </c>
    </row>
    <row r="12" spans="3:44" x14ac:dyDescent="0.25">
      <c r="C12" s="28">
        <v>45261</v>
      </c>
      <c r="D12" s="30">
        <v>5.1200000000000002E-2</v>
      </c>
      <c r="E12" s="30"/>
      <c r="F12" s="30">
        <v>5.33E-2</v>
      </c>
      <c r="G12" s="30">
        <v>5.33E-2</v>
      </c>
      <c r="H12" s="30">
        <v>4.1799999999999997E-2</v>
      </c>
      <c r="I12" s="30">
        <v>4.4299999999999999E-2</v>
      </c>
      <c r="J12" s="30">
        <v>4.7800000000000002E-2</v>
      </c>
      <c r="K12" s="30">
        <v>5.33E-2</v>
      </c>
      <c r="L12" s="30">
        <v>5.5399999999999998E-2</v>
      </c>
      <c r="M12" s="30">
        <v>5.4399999999999997E-2</v>
      </c>
      <c r="N12" s="30">
        <v>3.8199999999999998E-2</v>
      </c>
      <c r="O12" s="30">
        <v>2.5899999999999999E-2</v>
      </c>
      <c r="P12" s="30">
        <v>2.46E-2</v>
      </c>
      <c r="Q12" s="30">
        <v>3.1E-2</v>
      </c>
      <c r="R12" s="30">
        <v>3.7199999999999997E-2</v>
      </c>
      <c r="S12" s="30"/>
      <c r="T12" s="30">
        <v>4.1799999999999997E-2</v>
      </c>
      <c r="U12" s="30">
        <v>3.7199999999999997E-2</v>
      </c>
      <c r="V12" s="30">
        <v>3.8600000000000002E-2</v>
      </c>
      <c r="W12" s="30">
        <v>4.2999999999999997E-2</v>
      </c>
      <c r="X12" s="30">
        <v>4.1799999999999997E-2</v>
      </c>
      <c r="Y12" s="30">
        <v>4.1799999999999997E-2</v>
      </c>
      <c r="Z12" s="30">
        <v>4.1799999999999997E-2</v>
      </c>
      <c r="AA12" s="30">
        <v>6.2E-2</v>
      </c>
      <c r="AB12" s="30">
        <v>6.2E-2</v>
      </c>
      <c r="AC12" s="30">
        <v>6.2E-2</v>
      </c>
      <c r="AD12" s="30">
        <v>6.2E-2</v>
      </c>
      <c r="AE12" s="30">
        <v>6.2E-2</v>
      </c>
      <c r="AF12" s="30">
        <v>6.2E-2</v>
      </c>
      <c r="AG12" s="30">
        <v>5.3699999999999998E-2</v>
      </c>
      <c r="AH12" s="30">
        <v>4.2900000000000001E-2</v>
      </c>
      <c r="AI12" s="30">
        <v>4.0800000000000003E-2</v>
      </c>
      <c r="AJ12" s="30">
        <v>4.65E-2</v>
      </c>
      <c r="AK12" s="30">
        <v>2.2200000000000001E-2</v>
      </c>
      <c r="AL12" s="30"/>
      <c r="AM12" s="30">
        <v>2.2200000000000001E-2</v>
      </c>
      <c r="AN12" s="30">
        <v>2.2200000000000001E-2</v>
      </c>
      <c r="AO12" s="30">
        <v>4.9500000000000002E-2</v>
      </c>
      <c r="AP12" s="30"/>
      <c r="AQ12" s="30">
        <v>5.3900000000000003E-2</v>
      </c>
      <c r="AR12" s="30">
        <v>5.28E-2</v>
      </c>
    </row>
    <row r="13" spans="3:44" x14ac:dyDescent="0.25">
      <c r="C13" s="28">
        <v>45293</v>
      </c>
      <c r="D13" s="30">
        <v>5.0799999999999998E-2</v>
      </c>
      <c r="E13" s="30"/>
      <c r="F13" s="30">
        <v>5.2900000000000003E-2</v>
      </c>
      <c r="G13" s="30">
        <v>5.2900000000000003E-2</v>
      </c>
      <c r="H13" s="30">
        <v>4.1799999999999997E-2</v>
      </c>
      <c r="I13" s="30">
        <v>4.41E-2</v>
      </c>
      <c r="J13" s="30">
        <v>4.7600000000000003E-2</v>
      </c>
      <c r="K13" s="30">
        <v>5.2900000000000003E-2</v>
      </c>
      <c r="L13" s="30">
        <v>5.4899999999999997E-2</v>
      </c>
      <c r="M13" s="30">
        <v>5.3999999999999999E-2</v>
      </c>
      <c r="N13" s="30">
        <v>3.7900000000000003E-2</v>
      </c>
      <c r="O13" s="30">
        <v>2.5899999999999999E-2</v>
      </c>
      <c r="P13" s="30">
        <v>2.46E-2</v>
      </c>
      <c r="Q13" s="30">
        <v>3.09E-2</v>
      </c>
      <c r="R13" s="30">
        <v>3.3599999999999998E-2</v>
      </c>
      <c r="S13" s="30"/>
      <c r="T13" s="30">
        <v>3.8100000000000002E-2</v>
      </c>
      <c r="U13" s="30">
        <v>3.3599999999999998E-2</v>
      </c>
      <c r="V13" s="30">
        <v>3.49E-2</v>
      </c>
      <c r="W13" s="30">
        <v>3.9199999999999999E-2</v>
      </c>
      <c r="X13" s="30">
        <v>3.8100000000000002E-2</v>
      </c>
      <c r="Y13" s="30">
        <v>3.8100000000000002E-2</v>
      </c>
      <c r="Z13" s="30">
        <v>3.8100000000000002E-2</v>
      </c>
      <c r="AA13" s="30">
        <v>6.1100000000000002E-2</v>
      </c>
      <c r="AB13" s="30">
        <v>6.1100000000000002E-2</v>
      </c>
      <c r="AC13" s="30">
        <v>6.1100000000000002E-2</v>
      </c>
      <c r="AD13" s="30">
        <v>6.1100000000000002E-2</v>
      </c>
      <c r="AE13" s="30">
        <v>6.1100000000000002E-2</v>
      </c>
      <c r="AF13" s="30">
        <v>6.1100000000000002E-2</v>
      </c>
      <c r="AG13" s="30">
        <v>5.3999999999999999E-2</v>
      </c>
      <c r="AH13" s="30">
        <v>4.3200000000000002E-2</v>
      </c>
      <c r="AI13" s="30">
        <v>4.1000000000000002E-2</v>
      </c>
      <c r="AJ13" s="30">
        <v>4.6800000000000001E-2</v>
      </c>
      <c r="AK13" s="30">
        <v>2.2200000000000001E-2</v>
      </c>
      <c r="AL13" s="30"/>
      <c r="AM13" s="30">
        <v>2.2200000000000001E-2</v>
      </c>
      <c r="AN13" s="30">
        <v>2.2200000000000001E-2</v>
      </c>
      <c r="AO13" s="30">
        <v>4.9200000000000001E-2</v>
      </c>
      <c r="AP13" s="30"/>
      <c r="AQ13" s="30">
        <v>5.3499999999999999E-2</v>
      </c>
      <c r="AR13" s="30">
        <v>5.2499999999999998E-2</v>
      </c>
    </row>
    <row r="14" spans="3:44" x14ac:dyDescent="0.25">
      <c r="C14" s="28">
        <v>45323</v>
      </c>
      <c r="D14" s="30">
        <v>4.9700000000000001E-2</v>
      </c>
      <c r="E14" s="30"/>
      <c r="F14" s="30">
        <v>5.1700000000000003E-2</v>
      </c>
      <c r="G14" s="30">
        <v>5.1700000000000003E-2</v>
      </c>
      <c r="H14" s="30">
        <v>4.1000000000000002E-2</v>
      </c>
      <c r="I14" s="30">
        <v>4.3299999999999998E-2</v>
      </c>
      <c r="J14" s="30">
        <v>4.6600000000000003E-2</v>
      </c>
      <c r="K14" s="30">
        <v>5.1700000000000003E-2</v>
      </c>
      <c r="L14" s="30">
        <v>5.3600000000000002E-2</v>
      </c>
      <c r="M14" s="30">
        <v>5.2699999999999997E-2</v>
      </c>
      <c r="N14" s="30">
        <v>3.6999999999999998E-2</v>
      </c>
      <c r="O14" s="30">
        <v>2.5399999999999999E-2</v>
      </c>
      <c r="P14" s="30">
        <v>2.4199999999999999E-2</v>
      </c>
      <c r="Q14" s="30">
        <v>3.0300000000000001E-2</v>
      </c>
      <c r="R14" s="30">
        <v>3.0300000000000001E-2</v>
      </c>
      <c r="S14" s="30"/>
      <c r="T14" s="30">
        <v>3.4599999999999999E-2</v>
      </c>
      <c r="U14" s="30">
        <v>3.0300000000000001E-2</v>
      </c>
      <c r="V14" s="30">
        <v>3.15E-2</v>
      </c>
      <c r="W14" s="30">
        <v>3.5700000000000003E-2</v>
      </c>
      <c r="X14" s="30">
        <v>3.4599999999999999E-2</v>
      </c>
      <c r="Y14" s="30">
        <v>3.4599999999999999E-2</v>
      </c>
      <c r="Z14" s="30">
        <v>3.4599999999999999E-2</v>
      </c>
      <c r="AA14" s="30">
        <v>5.9299999999999999E-2</v>
      </c>
      <c r="AB14" s="30">
        <v>5.9299999999999999E-2</v>
      </c>
      <c r="AC14" s="30">
        <v>5.9299999999999999E-2</v>
      </c>
      <c r="AD14" s="30">
        <v>5.9299999999999999E-2</v>
      </c>
      <c r="AE14" s="30">
        <v>5.9299999999999999E-2</v>
      </c>
      <c r="AF14" s="30">
        <v>5.9299999999999999E-2</v>
      </c>
      <c r="AG14" s="30">
        <v>5.3699999999999998E-2</v>
      </c>
      <c r="AH14" s="30">
        <v>4.2900000000000001E-2</v>
      </c>
      <c r="AI14" s="30">
        <v>4.0800000000000003E-2</v>
      </c>
      <c r="AJ14" s="30">
        <v>4.65E-2</v>
      </c>
      <c r="AK14" s="30">
        <v>2.24E-2</v>
      </c>
      <c r="AL14" s="30"/>
      <c r="AM14" s="30">
        <v>2.24E-2</v>
      </c>
      <c r="AN14" s="30">
        <v>2.24E-2</v>
      </c>
      <c r="AO14" s="30">
        <v>4.8800000000000003E-2</v>
      </c>
      <c r="AP14" s="30"/>
      <c r="AQ14" s="30">
        <v>5.2999999999999999E-2</v>
      </c>
      <c r="AR14" s="30">
        <v>5.1999999999999998E-2</v>
      </c>
    </row>
    <row r="15" spans="3:44" x14ac:dyDescent="0.25">
      <c r="C15" s="28">
        <v>45352</v>
      </c>
      <c r="D15" s="30">
        <v>5.0200000000000002E-2</v>
      </c>
      <c r="E15" s="30"/>
      <c r="F15" s="30">
        <v>5.2200000000000003E-2</v>
      </c>
      <c r="G15" s="30">
        <v>5.2200000000000003E-2</v>
      </c>
      <c r="H15" s="30">
        <v>4.1300000000000003E-2</v>
      </c>
      <c r="I15" s="30">
        <v>4.36E-2</v>
      </c>
      <c r="J15" s="30">
        <v>4.7E-2</v>
      </c>
      <c r="K15" s="30">
        <v>5.2200000000000003E-2</v>
      </c>
      <c r="L15" s="30">
        <v>5.4100000000000002E-2</v>
      </c>
      <c r="M15" s="30">
        <v>5.3199999999999997E-2</v>
      </c>
      <c r="N15" s="30">
        <v>3.7400000000000003E-2</v>
      </c>
      <c r="O15" s="30">
        <v>2.5600000000000001E-2</v>
      </c>
      <c r="P15" s="30">
        <v>2.4400000000000002E-2</v>
      </c>
      <c r="Q15" s="30">
        <v>3.0499999999999999E-2</v>
      </c>
      <c r="R15" s="30">
        <v>3.3300000000000003E-2</v>
      </c>
      <c r="S15" s="30"/>
      <c r="T15" s="30">
        <v>3.7600000000000001E-2</v>
      </c>
      <c r="U15" s="30">
        <v>3.3300000000000003E-2</v>
      </c>
      <c r="V15" s="30">
        <v>3.4599999999999999E-2</v>
      </c>
      <c r="W15" s="30">
        <v>3.8800000000000001E-2</v>
      </c>
      <c r="X15" s="30">
        <v>3.7600000000000001E-2</v>
      </c>
      <c r="Y15" s="30">
        <v>3.7600000000000001E-2</v>
      </c>
      <c r="Z15" s="30">
        <v>3.7600000000000001E-2</v>
      </c>
      <c r="AA15" s="30">
        <v>0.06</v>
      </c>
      <c r="AB15" s="30">
        <v>0.06</v>
      </c>
      <c r="AC15" s="30">
        <v>0.06</v>
      </c>
      <c r="AD15" s="30">
        <v>0.06</v>
      </c>
      <c r="AE15" s="30">
        <v>0.06</v>
      </c>
      <c r="AF15" s="30">
        <v>0.06</v>
      </c>
      <c r="AG15" s="30">
        <v>5.4399999999999997E-2</v>
      </c>
      <c r="AH15" s="30">
        <v>4.3499999999999997E-2</v>
      </c>
      <c r="AI15" s="30">
        <v>4.1300000000000003E-2</v>
      </c>
      <c r="AJ15" s="30">
        <v>4.7100000000000003E-2</v>
      </c>
      <c r="AK15" s="30">
        <v>2.2700000000000001E-2</v>
      </c>
      <c r="AL15" s="30"/>
      <c r="AM15" s="30">
        <v>2.2700000000000001E-2</v>
      </c>
      <c r="AN15" s="30">
        <v>2.2700000000000001E-2</v>
      </c>
      <c r="AO15" s="30">
        <v>4.5600000000000002E-2</v>
      </c>
      <c r="AP15" s="30"/>
      <c r="AQ15" s="30">
        <v>4.9599999999999998E-2</v>
      </c>
      <c r="AR15" s="30">
        <v>4.8599999999999997E-2</v>
      </c>
    </row>
    <row r="16" spans="3:44" x14ac:dyDescent="0.25">
      <c r="C16" s="28">
        <v>45383</v>
      </c>
      <c r="D16" s="30">
        <v>4.9299999999999997E-2</v>
      </c>
      <c r="E16" s="30"/>
      <c r="F16" s="30">
        <v>5.1299999999999998E-2</v>
      </c>
      <c r="G16" s="30">
        <v>5.1299999999999998E-2</v>
      </c>
      <c r="H16" s="30">
        <v>4.0599999999999997E-2</v>
      </c>
      <c r="I16" s="30">
        <v>4.36E-2</v>
      </c>
      <c r="J16" s="30">
        <v>4.7E-2</v>
      </c>
      <c r="K16" s="30">
        <v>5.1299999999999998E-2</v>
      </c>
      <c r="L16" s="30">
        <v>5.3199999999999997E-2</v>
      </c>
      <c r="M16" s="30">
        <v>5.2299999999999999E-2</v>
      </c>
      <c r="N16" s="30">
        <v>3.6700000000000003E-2</v>
      </c>
      <c r="O16" s="30">
        <v>2.52E-2</v>
      </c>
      <c r="P16" s="30">
        <v>2.4400000000000002E-2</v>
      </c>
      <c r="Q16" s="30">
        <v>3.0499999999999999E-2</v>
      </c>
      <c r="R16" s="30">
        <v>3.5099999999999999E-2</v>
      </c>
      <c r="S16" s="30"/>
      <c r="T16" s="30">
        <v>3.9399999999999998E-2</v>
      </c>
      <c r="U16" s="30">
        <v>3.5099999999999999E-2</v>
      </c>
      <c r="V16" s="30">
        <v>3.4599999999999999E-2</v>
      </c>
      <c r="W16" s="30">
        <v>3.8800000000000001E-2</v>
      </c>
      <c r="X16" s="30">
        <v>3.9399999999999998E-2</v>
      </c>
      <c r="Y16" s="30">
        <v>3.9399999999999998E-2</v>
      </c>
      <c r="Z16" s="30">
        <v>3.9399999999999998E-2</v>
      </c>
      <c r="AA16" s="30">
        <v>5.8999999999999997E-2</v>
      </c>
      <c r="AB16" s="30">
        <v>5.8999999999999997E-2</v>
      </c>
      <c r="AC16" s="30">
        <v>5.8999999999999997E-2</v>
      </c>
      <c r="AD16" s="30">
        <v>5.8999999999999997E-2</v>
      </c>
      <c r="AE16" s="30">
        <v>5.8999999999999997E-2</v>
      </c>
      <c r="AF16" s="30">
        <v>5.8999999999999997E-2</v>
      </c>
      <c r="AG16" s="30">
        <v>5.4300000000000001E-2</v>
      </c>
      <c r="AH16" s="30">
        <v>4.3499999999999997E-2</v>
      </c>
      <c r="AI16" s="30">
        <v>4.1300000000000003E-2</v>
      </c>
      <c r="AJ16" s="30">
        <v>4.7100000000000003E-2</v>
      </c>
      <c r="AK16" s="30">
        <v>2.2700000000000001E-2</v>
      </c>
      <c r="AL16" s="30"/>
      <c r="AM16" s="30">
        <v>2.2700000000000001E-2</v>
      </c>
      <c r="AN16" s="30">
        <v>2.2700000000000001E-2</v>
      </c>
      <c r="AO16" s="30">
        <v>4.7899999999999998E-2</v>
      </c>
      <c r="AP16" s="30"/>
      <c r="AQ16" s="30">
        <v>5.1999999999999998E-2</v>
      </c>
      <c r="AR16" s="30">
        <v>5.0999999999999997E-2</v>
      </c>
    </row>
    <row r="17" spans="3:44" x14ac:dyDescent="0.25">
      <c r="C17" s="28">
        <v>45413</v>
      </c>
      <c r="D17" s="30">
        <v>4.9799999999999997E-2</v>
      </c>
      <c r="E17" s="30"/>
      <c r="F17" s="30">
        <v>5.1900000000000002E-2</v>
      </c>
      <c r="G17" s="30">
        <v>5.1900000000000002E-2</v>
      </c>
      <c r="H17" s="30">
        <v>4.0899999999999999E-2</v>
      </c>
      <c r="I17" s="30">
        <v>4.36E-2</v>
      </c>
      <c r="J17" s="30">
        <v>4.7E-2</v>
      </c>
      <c r="K17" s="30">
        <v>5.1900000000000002E-2</v>
      </c>
      <c r="L17" s="30">
        <v>5.4800000000000001E-2</v>
      </c>
      <c r="M17" s="30">
        <v>5.4800000000000001E-2</v>
      </c>
      <c r="N17" s="30">
        <v>3.7100000000000001E-2</v>
      </c>
      <c r="O17" s="30">
        <v>2.5399999999999999E-2</v>
      </c>
      <c r="P17" s="30">
        <v>2.4400000000000002E-2</v>
      </c>
      <c r="Q17" s="30">
        <v>3.0499999999999999E-2</v>
      </c>
      <c r="R17" s="30">
        <v>3.8399999999999997E-2</v>
      </c>
      <c r="S17" s="30"/>
      <c r="T17" s="30">
        <v>4.2799999999999998E-2</v>
      </c>
      <c r="U17" s="30">
        <v>3.8399999999999997E-2</v>
      </c>
      <c r="V17" s="30">
        <v>3.4599999999999999E-2</v>
      </c>
      <c r="W17" s="30">
        <v>3.8800000000000001E-2</v>
      </c>
      <c r="X17" s="30">
        <v>4.2799999999999998E-2</v>
      </c>
      <c r="Y17" s="30">
        <v>4.2799999999999998E-2</v>
      </c>
      <c r="Z17" s="30">
        <v>4.2799999999999998E-2</v>
      </c>
      <c r="AA17" s="30">
        <v>0.06</v>
      </c>
      <c r="AB17" s="30">
        <v>0.06</v>
      </c>
      <c r="AC17" s="30">
        <v>0.06</v>
      </c>
      <c r="AD17" s="30">
        <v>0.06</v>
      </c>
      <c r="AE17" s="30">
        <v>0.06</v>
      </c>
      <c r="AF17" s="30">
        <v>0.06</v>
      </c>
      <c r="AG17" s="30">
        <v>5.3900000000000003E-2</v>
      </c>
      <c r="AH17" s="30">
        <v>4.3099999999999999E-2</v>
      </c>
      <c r="AI17" s="30">
        <v>4.1300000000000003E-2</v>
      </c>
      <c r="AJ17" s="30">
        <v>4.7100000000000003E-2</v>
      </c>
      <c r="AK17" s="30">
        <v>2.2499999999999999E-2</v>
      </c>
      <c r="AL17" s="30"/>
      <c r="AM17" s="30">
        <v>2.2499999999999999E-2</v>
      </c>
      <c r="AN17" s="30">
        <v>2.2499999999999999E-2</v>
      </c>
      <c r="AO17" s="30">
        <v>4.8099999999999997E-2</v>
      </c>
      <c r="AP17" s="30"/>
      <c r="AQ17" s="30">
        <v>5.33E-2</v>
      </c>
      <c r="AR17" s="30">
        <v>5.33E-2</v>
      </c>
    </row>
    <row r="18" spans="3:44" x14ac:dyDescent="0.25">
      <c r="C18" s="28">
        <v>45446</v>
      </c>
      <c r="D18" s="30">
        <v>4.9000000000000002E-2</v>
      </c>
      <c r="E18" s="30"/>
      <c r="F18" s="30">
        <v>5.0999999999999997E-2</v>
      </c>
      <c r="G18" s="30">
        <v>5.0999999999999997E-2</v>
      </c>
      <c r="H18" s="30">
        <v>4.0399999999999998E-2</v>
      </c>
      <c r="I18" s="30">
        <v>4.36E-2</v>
      </c>
      <c r="J18" s="30">
        <v>4.7E-2</v>
      </c>
      <c r="K18" s="30">
        <v>5.0999999999999997E-2</v>
      </c>
      <c r="L18" s="30">
        <v>5.28E-2</v>
      </c>
      <c r="M18" s="30">
        <v>5.1900000000000002E-2</v>
      </c>
      <c r="N18" s="30">
        <v>3.6499999999999998E-2</v>
      </c>
      <c r="O18" s="30">
        <v>2.5100000000000001E-2</v>
      </c>
      <c r="P18" s="30">
        <v>2.4400000000000002E-2</v>
      </c>
      <c r="Q18" s="30">
        <v>3.0499999999999999E-2</v>
      </c>
      <c r="R18" s="30">
        <v>3.1800000000000002E-2</v>
      </c>
      <c r="S18" s="30"/>
      <c r="T18" s="30">
        <v>3.5999999999999997E-2</v>
      </c>
      <c r="U18" s="30">
        <v>3.1800000000000002E-2</v>
      </c>
      <c r="V18" s="30">
        <v>3.4599999999999999E-2</v>
      </c>
      <c r="W18" s="30">
        <v>3.8800000000000001E-2</v>
      </c>
      <c r="X18" s="30">
        <v>3.5999999999999997E-2</v>
      </c>
      <c r="Y18" s="30">
        <v>3.5999999999999997E-2</v>
      </c>
      <c r="Z18" s="30">
        <v>3.5999999999999997E-2</v>
      </c>
      <c r="AA18" s="30">
        <v>5.8500000000000003E-2</v>
      </c>
      <c r="AB18" s="30">
        <v>5.8500000000000003E-2</v>
      </c>
      <c r="AC18" s="30">
        <v>5.8500000000000003E-2</v>
      </c>
      <c r="AD18" s="30">
        <v>5.8500000000000003E-2</v>
      </c>
      <c r="AE18" s="30">
        <v>5.8500000000000003E-2</v>
      </c>
      <c r="AF18" s="30">
        <v>5.8500000000000003E-2</v>
      </c>
      <c r="AG18" s="30">
        <v>5.5300000000000002E-2</v>
      </c>
      <c r="AH18" s="30">
        <v>4.4200000000000003E-2</v>
      </c>
      <c r="AI18" s="30">
        <v>4.1300000000000003E-2</v>
      </c>
      <c r="AJ18" s="30">
        <v>4.7100000000000003E-2</v>
      </c>
      <c r="AK18" s="30">
        <v>2.2499999999999999E-2</v>
      </c>
      <c r="AL18" s="30"/>
      <c r="AM18" s="30">
        <v>2.2499999999999999E-2</v>
      </c>
      <c r="AN18" s="30">
        <v>2.2499999999999999E-2</v>
      </c>
      <c r="AO18" s="30">
        <v>4.7399999999999998E-2</v>
      </c>
      <c r="AP18" s="30"/>
      <c r="AQ18" s="30">
        <v>5.1400000000000001E-2</v>
      </c>
      <c r="AR18" s="30">
        <v>5.04E-2</v>
      </c>
    </row>
    <row r="19" spans="3:44" x14ac:dyDescent="0.25">
      <c r="C19" s="28">
        <v>45474</v>
      </c>
      <c r="D19" s="30">
        <v>4.9599999999999998E-2</v>
      </c>
      <c r="E19" s="30">
        <v>5.0599999999999999E-2</v>
      </c>
      <c r="F19" s="30">
        <v>5.1499999999999997E-2</v>
      </c>
      <c r="G19" s="30">
        <v>5.1499999999999997E-2</v>
      </c>
      <c r="H19" s="30">
        <v>4.0899999999999999E-2</v>
      </c>
      <c r="I19" s="30">
        <v>4.3200000000000002E-2</v>
      </c>
      <c r="J19" s="30">
        <v>4.65E-2</v>
      </c>
      <c r="K19" s="30">
        <v>5.1499999999999997E-2</v>
      </c>
      <c r="L19" s="30">
        <v>5.3400000000000003E-2</v>
      </c>
      <c r="M19" s="30">
        <v>5.2499999999999998E-2</v>
      </c>
      <c r="N19" s="30">
        <v>3.6900000000000002E-2</v>
      </c>
      <c r="O19" s="30">
        <v>3.4700000000000002E-2</v>
      </c>
      <c r="P19" s="30">
        <v>2.4199999999999999E-2</v>
      </c>
      <c r="Q19" s="30">
        <v>3.0200000000000001E-2</v>
      </c>
      <c r="R19" s="30">
        <v>3.1099999999999999E-2</v>
      </c>
      <c r="S19" s="30">
        <v>3.1099999999999999E-2</v>
      </c>
      <c r="T19" s="30">
        <v>3.5400000000000001E-2</v>
      </c>
      <c r="U19" s="30">
        <v>3.1099999999999999E-2</v>
      </c>
      <c r="V19" s="30">
        <v>3.2399999999999998E-2</v>
      </c>
      <c r="W19" s="30">
        <v>3.6499999999999998E-2</v>
      </c>
      <c r="X19" s="30">
        <v>3.5400000000000001E-2</v>
      </c>
      <c r="Y19" s="30">
        <v>3.5400000000000001E-2</v>
      </c>
      <c r="Z19" s="30">
        <v>3.5400000000000001E-2</v>
      </c>
      <c r="AA19" s="30">
        <v>5.8999999999999997E-2</v>
      </c>
      <c r="AB19" s="30">
        <v>5.8999999999999997E-2</v>
      </c>
      <c r="AC19" s="30">
        <v>5.8999999999999997E-2</v>
      </c>
      <c r="AD19" s="30">
        <v>5.8999999999999997E-2</v>
      </c>
      <c r="AE19" s="30">
        <v>5.8999999999999997E-2</v>
      </c>
      <c r="AF19" s="30">
        <v>5.8999999999999997E-2</v>
      </c>
      <c r="AG19" s="30">
        <v>5.5100000000000003E-2</v>
      </c>
      <c r="AH19" s="30">
        <v>4.41E-2</v>
      </c>
      <c r="AI19" s="30">
        <v>4.19E-2</v>
      </c>
      <c r="AJ19" s="30">
        <v>4.7699999999999999E-2</v>
      </c>
      <c r="AK19" s="30">
        <v>2.2800000000000001E-2</v>
      </c>
      <c r="AL19" s="30">
        <v>2.2800000000000001E-2</v>
      </c>
      <c r="AM19" s="30">
        <v>2.2800000000000001E-2</v>
      </c>
      <c r="AN19" s="30">
        <v>2.2800000000000001E-2</v>
      </c>
      <c r="AO19" s="30">
        <v>4.7899999999999998E-2</v>
      </c>
      <c r="AP19" s="30">
        <v>4.9000000000000002E-2</v>
      </c>
      <c r="AQ19" s="30">
        <v>5.1999999999999998E-2</v>
      </c>
      <c r="AR19" s="30">
        <v>5.0999999999999997E-2</v>
      </c>
    </row>
    <row r="20" spans="3:44" x14ac:dyDescent="0.25">
      <c r="C20" s="28">
        <v>45505</v>
      </c>
      <c r="D20" s="30">
        <v>4.9000000000000002E-2</v>
      </c>
      <c r="E20" s="30">
        <v>4.99E-2</v>
      </c>
      <c r="F20" s="30">
        <v>5.0900000000000001E-2</v>
      </c>
      <c r="G20" s="30">
        <v>5.0900000000000001E-2</v>
      </c>
      <c r="H20" s="30">
        <v>4.0500000000000001E-2</v>
      </c>
      <c r="I20" s="30">
        <v>4.2700000000000002E-2</v>
      </c>
      <c r="J20" s="30">
        <v>4.5900000000000003E-2</v>
      </c>
      <c r="K20" s="30">
        <v>5.0900000000000001E-2</v>
      </c>
      <c r="L20" s="30">
        <v>5.2699999999999997E-2</v>
      </c>
      <c r="M20" s="30">
        <v>5.1799999999999999E-2</v>
      </c>
      <c r="N20" s="30">
        <v>3.6400000000000002E-2</v>
      </c>
      <c r="O20" s="30">
        <v>3.4299999999999997E-2</v>
      </c>
      <c r="P20" s="30">
        <v>2.3900000000000001E-2</v>
      </c>
      <c r="Q20" s="30">
        <v>2.9899999999999999E-2</v>
      </c>
      <c r="R20" s="30">
        <v>3.0300000000000001E-2</v>
      </c>
      <c r="S20" s="30">
        <v>3.0300000000000001E-2</v>
      </c>
      <c r="T20" s="30">
        <v>3.44E-2</v>
      </c>
      <c r="U20" s="30">
        <v>3.0300000000000001E-2</v>
      </c>
      <c r="V20" s="30">
        <v>3.15E-2</v>
      </c>
      <c r="W20" s="30">
        <v>3.5499999999999997E-2</v>
      </c>
      <c r="X20" s="30">
        <v>3.44E-2</v>
      </c>
      <c r="Y20" s="30">
        <v>3.44E-2</v>
      </c>
      <c r="Z20" s="30">
        <v>3.44E-2</v>
      </c>
      <c r="AA20" s="30">
        <v>5.8099999999999999E-2</v>
      </c>
      <c r="AB20" s="30">
        <v>5.8099999999999999E-2</v>
      </c>
      <c r="AC20" s="30">
        <v>5.8099999999999999E-2</v>
      </c>
      <c r="AD20" s="30">
        <v>5.8099999999999999E-2</v>
      </c>
      <c r="AE20" s="30">
        <v>5.8099999999999999E-2</v>
      </c>
      <c r="AF20" s="30">
        <v>5.8099999999999999E-2</v>
      </c>
      <c r="AG20" s="30">
        <v>5.4899999999999997E-2</v>
      </c>
      <c r="AH20" s="30">
        <v>4.3900000000000002E-2</v>
      </c>
      <c r="AI20" s="30">
        <v>4.1700000000000001E-2</v>
      </c>
      <c r="AJ20" s="30">
        <v>4.7500000000000001E-2</v>
      </c>
      <c r="AK20" s="30">
        <v>5.5199999999999999E-2</v>
      </c>
      <c r="AL20" s="30">
        <v>2.29E-2</v>
      </c>
      <c r="AM20" s="30">
        <v>2.29E-2</v>
      </c>
      <c r="AN20" s="30">
        <v>2.29E-2</v>
      </c>
      <c r="AO20" s="30">
        <v>4.7100000000000003E-2</v>
      </c>
      <c r="AP20" s="30">
        <v>4.82E-2</v>
      </c>
      <c r="AQ20" s="30">
        <v>5.11E-2</v>
      </c>
      <c r="AR20" s="30">
        <v>5.0200000000000002E-2</v>
      </c>
    </row>
    <row r="21" spans="3:44" x14ac:dyDescent="0.25">
      <c r="C21" s="28">
        <v>45538</v>
      </c>
      <c r="D21" s="30">
        <v>4.99E-2</v>
      </c>
      <c r="E21" s="30">
        <v>5.0900000000000001E-2</v>
      </c>
      <c r="F21" s="30">
        <v>5.1799999999999999E-2</v>
      </c>
      <c r="G21" s="30">
        <v>5.1799999999999999E-2</v>
      </c>
      <c r="H21" s="30">
        <v>4.1099999999999998E-2</v>
      </c>
      <c r="I21" s="30">
        <v>4.3400000000000001E-2</v>
      </c>
      <c r="J21" s="30">
        <v>4.6699999999999998E-2</v>
      </c>
      <c r="K21" s="30">
        <v>5.1799999999999999E-2</v>
      </c>
      <c r="L21" s="30">
        <v>5.3699999999999998E-2</v>
      </c>
      <c r="M21" s="30">
        <v>5.28E-2</v>
      </c>
      <c r="N21" s="30">
        <v>3.7100000000000001E-2</v>
      </c>
      <c r="O21" s="30">
        <v>3.9199999999999999E-2</v>
      </c>
      <c r="P21" s="30">
        <v>2.4299999999999999E-2</v>
      </c>
      <c r="Q21" s="30">
        <v>3.04E-2</v>
      </c>
      <c r="R21" s="30">
        <v>2.98E-2</v>
      </c>
      <c r="S21" s="30">
        <v>2.98E-2</v>
      </c>
      <c r="T21" s="30">
        <v>3.4000000000000002E-2</v>
      </c>
      <c r="U21" s="30">
        <v>2.98E-2</v>
      </c>
      <c r="V21" s="30">
        <v>3.1E-2</v>
      </c>
      <c r="W21" s="30">
        <v>3.5200000000000002E-2</v>
      </c>
      <c r="X21" s="30">
        <v>3.4000000000000002E-2</v>
      </c>
      <c r="Y21" s="30">
        <v>3.4000000000000002E-2</v>
      </c>
      <c r="Z21" s="30">
        <v>3.4000000000000002E-2</v>
      </c>
      <c r="AA21" s="30">
        <v>5.9299999999999999E-2</v>
      </c>
      <c r="AB21" s="30">
        <v>5.9299999999999999E-2</v>
      </c>
      <c r="AC21" s="30">
        <v>5.9299999999999999E-2</v>
      </c>
      <c r="AD21" s="30">
        <v>5.9299999999999999E-2</v>
      </c>
      <c r="AE21" s="30">
        <v>5.9299999999999999E-2</v>
      </c>
      <c r="AF21" s="30">
        <v>5.9299999999999999E-2</v>
      </c>
      <c r="AG21" s="30">
        <v>5.33E-2</v>
      </c>
      <c r="AH21" s="30">
        <v>4.2700000000000002E-2</v>
      </c>
      <c r="AI21" s="30">
        <v>4.0500000000000001E-2</v>
      </c>
      <c r="AJ21" s="30">
        <v>4.6199999999999998E-2</v>
      </c>
      <c r="AK21" s="30">
        <v>5.1799999999999999E-2</v>
      </c>
      <c r="AL21" s="30">
        <v>5.1799999999999999E-2</v>
      </c>
      <c r="AM21" s="30">
        <v>5.1799999999999999E-2</v>
      </c>
      <c r="AN21" s="30">
        <v>5.1799999999999999E-2</v>
      </c>
      <c r="AO21" s="30">
        <v>4.7399999999999998E-2</v>
      </c>
      <c r="AP21" s="30">
        <v>4.8500000000000001E-2</v>
      </c>
      <c r="AQ21" s="30">
        <v>5.1499999999999997E-2</v>
      </c>
      <c r="AR21" s="30">
        <v>5.0500000000000003E-2</v>
      </c>
    </row>
    <row r="22" spans="3:44" x14ac:dyDescent="0.25">
      <c r="C22" s="28">
        <v>45566</v>
      </c>
      <c r="D22" s="30">
        <v>4.9799999999999997E-2</v>
      </c>
      <c r="E22" s="30">
        <v>5.0799999999999998E-2</v>
      </c>
      <c r="F22" s="30">
        <v>5.1799999999999999E-2</v>
      </c>
      <c r="G22" s="30">
        <v>5.1799999999999999E-2</v>
      </c>
      <c r="H22" s="30">
        <v>4.1099999999999998E-2</v>
      </c>
      <c r="I22" s="30">
        <v>4.3400000000000001E-2</v>
      </c>
      <c r="J22" s="30">
        <v>4.6699999999999998E-2</v>
      </c>
      <c r="K22" s="30">
        <v>5.1799999999999999E-2</v>
      </c>
      <c r="L22" s="30">
        <v>5.3699999999999998E-2</v>
      </c>
      <c r="M22" s="30">
        <v>5.28E-2</v>
      </c>
      <c r="N22" s="30">
        <v>3.7100000000000001E-2</v>
      </c>
      <c r="O22" s="30">
        <v>2.5499999999999998E-2</v>
      </c>
      <c r="P22" s="30">
        <v>2.4199999999999999E-2</v>
      </c>
      <c r="Q22" s="30">
        <v>3.0300000000000001E-2</v>
      </c>
      <c r="R22" s="30">
        <v>0.03</v>
      </c>
      <c r="S22" s="30">
        <v>0.03</v>
      </c>
      <c r="T22" s="30">
        <v>3.4299999999999997E-2</v>
      </c>
      <c r="U22" s="30">
        <v>0.03</v>
      </c>
      <c r="V22" s="30">
        <v>3.1199999999999999E-2</v>
      </c>
      <c r="W22" s="30">
        <v>3.5400000000000001E-2</v>
      </c>
      <c r="X22" s="30">
        <v>3.4299999999999997E-2</v>
      </c>
      <c r="Y22" s="30">
        <v>3.4299999999999997E-2</v>
      </c>
      <c r="Z22" s="30">
        <v>3.4299999999999997E-2</v>
      </c>
      <c r="AA22" s="30">
        <v>5.9400000000000001E-2</v>
      </c>
      <c r="AB22" s="30">
        <v>5.9400000000000001E-2</v>
      </c>
      <c r="AC22" s="30">
        <v>5.9400000000000001E-2</v>
      </c>
      <c r="AD22" s="30">
        <v>5.9400000000000001E-2</v>
      </c>
      <c r="AE22" s="30">
        <v>5.9400000000000001E-2</v>
      </c>
      <c r="AF22" s="30">
        <v>5.9400000000000001E-2</v>
      </c>
      <c r="AG22" s="30">
        <v>5.21E-2</v>
      </c>
      <c r="AH22" s="30">
        <v>4.1700000000000001E-2</v>
      </c>
      <c r="AI22" s="30">
        <v>3.9600000000000003E-2</v>
      </c>
      <c r="AJ22" s="30">
        <v>4.5199999999999997E-2</v>
      </c>
      <c r="AK22" s="30">
        <v>2.3099999999999999E-2</v>
      </c>
      <c r="AL22" s="30">
        <v>2.3099999999999999E-2</v>
      </c>
      <c r="AM22" s="30">
        <v>2.3099999999999999E-2</v>
      </c>
      <c r="AN22" s="30">
        <v>2.3099999999999999E-2</v>
      </c>
      <c r="AO22" s="30">
        <v>4.6800000000000001E-2</v>
      </c>
      <c r="AP22" s="30">
        <v>4.7800000000000002E-2</v>
      </c>
      <c r="AQ22" s="30">
        <v>5.0900000000000001E-2</v>
      </c>
      <c r="AR22" s="30">
        <v>5.0900000000000001E-2</v>
      </c>
    </row>
    <row r="23" spans="3:44" x14ac:dyDescent="0.25">
      <c r="C23" s="28">
        <v>45597</v>
      </c>
      <c r="D23" s="30">
        <v>5.1499999999999997E-2</v>
      </c>
      <c r="E23" s="30">
        <v>5.2499999999999998E-2</v>
      </c>
      <c r="F23" s="30">
        <v>5.3499999999999999E-2</v>
      </c>
      <c r="G23" s="30">
        <v>5.3499999999999999E-2</v>
      </c>
      <c r="H23" s="30">
        <v>4.24E-2</v>
      </c>
      <c r="I23" s="30">
        <v>4.48E-2</v>
      </c>
      <c r="J23" s="30">
        <v>4.82E-2</v>
      </c>
      <c r="K23" s="30">
        <v>5.3499999999999999E-2</v>
      </c>
      <c r="L23" s="30">
        <v>5.5399999999999998E-2</v>
      </c>
      <c r="M23" s="30">
        <v>5.45E-2</v>
      </c>
      <c r="N23" s="30">
        <v>3.8300000000000001E-2</v>
      </c>
      <c r="O23" s="30">
        <v>2.63E-2</v>
      </c>
      <c r="P23" s="30">
        <v>2.5000000000000001E-2</v>
      </c>
      <c r="Q23" s="30">
        <v>3.1399999999999997E-2</v>
      </c>
      <c r="R23" s="30">
        <v>3.1399999999999997E-2</v>
      </c>
      <c r="S23" s="30">
        <v>3.1399999999999997E-2</v>
      </c>
      <c r="T23" s="30">
        <v>3.5999999999999997E-2</v>
      </c>
      <c r="U23" s="30">
        <v>3.1399999999999997E-2</v>
      </c>
      <c r="V23" s="30">
        <v>3.2800000000000003E-2</v>
      </c>
      <c r="W23" s="30">
        <v>3.7199999999999997E-2</v>
      </c>
      <c r="X23" s="30">
        <v>3.5999999999999997E-2</v>
      </c>
      <c r="Y23" s="30">
        <v>3.5999999999999997E-2</v>
      </c>
      <c r="Z23" s="30">
        <v>3.5999999999999997E-2</v>
      </c>
      <c r="AA23" s="30">
        <v>6.1199999999999997E-2</v>
      </c>
      <c r="AB23" s="30">
        <v>6.1199999999999997E-2</v>
      </c>
      <c r="AC23" s="30">
        <v>6.1199999999999997E-2</v>
      </c>
      <c r="AD23" s="30">
        <v>6.1199999999999997E-2</v>
      </c>
      <c r="AE23" s="30">
        <v>6.1199999999999997E-2</v>
      </c>
      <c r="AF23" s="30">
        <v>6.1199999999999997E-2</v>
      </c>
      <c r="AG23" s="30">
        <v>5.28E-2</v>
      </c>
      <c r="AH23" s="30">
        <v>4.2200000000000001E-2</v>
      </c>
      <c r="AI23" s="30">
        <v>4.0099999999999997E-2</v>
      </c>
      <c r="AJ23" s="30">
        <v>4.5699999999999998E-2</v>
      </c>
      <c r="AK23" s="30">
        <v>2.3599999999999999E-2</v>
      </c>
      <c r="AL23" s="30">
        <v>2.3599999999999999E-2</v>
      </c>
      <c r="AM23" s="30">
        <v>2.3599999999999999E-2</v>
      </c>
      <c r="AN23" s="30">
        <v>2.3599999999999999E-2</v>
      </c>
      <c r="AO23" s="30">
        <v>4.87E-2</v>
      </c>
      <c r="AP23" s="30">
        <v>4.9799999999999997E-2</v>
      </c>
      <c r="AQ23" s="30">
        <v>5.2999999999999999E-2</v>
      </c>
      <c r="AR23" s="30">
        <v>5.2999999999999999E-2</v>
      </c>
    </row>
    <row r="24" spans="3:44" x14ac:dyDescent="0.25">
      <c r="C24" s="28">
        <v>45628</v>
      </c>
      <c r="D24" s="30">
        <v>5.11E-2</v>
      </c>
      <c r="E24" s="30">
        <v>5.21E-2</v>
      </c>
      <c r="F24" s="30">
        <v>5.3100000000000001E-2</v>
      </c>
      <c r="G24" s="30">
        <v>5.3100000000000001E-2</v>
      </c>
      <c r="H24" s="30">
        <v>4.2099999999999999E-2</v>
      </c>
      <c r="I24" s="30">
        <v>4.4400000000000002E-2</v>
      </c>
      <c r="J24" s="30">
        <v>4.7800000000000002E-2</v>
      </c>
      <c r="K24" s="30">
        <v>5.3100000000000001E-2</v>
      </c>
      <c r="L24" s="30">
        <v>5.5E-2</v>
      </c>
      <c r="M24" s="30">
        <v>5.4100000000000002E-2</v>
      </c>
      <c r="N24" s="30">
        <v>3.7999999999999999E-2</v>
      </c>
      <c r="O24" s="30">
        <v>2.6100000000000002E-2</v>
      </c>
      <c r="P24" s="30">
        <v>2.4799999999999999E-2</v>
      </c>
      <c r="Q24" s="30">
        <v>3.1099999999999999E-2</v>
      </c>
      <c r="R24" s="30">
        <v>3.3099999999999997E-2</v>
      </c>
      <c r="S24" s="30">
        <v>3.3099999999999997E-2</v>
      </c>
      <c r="T24" s="30">
        <v>3.7600000000000001E-2</v>
      </c>
      <c r="U24" s="30">
        <v>3.3099999999999997E-2</v>
      </c>
      <c r="V24" s="30">
        <v>3.44E-2</v>
      </c>
      <c r="W24" s="30">
        <v>3.8800000000000001E-2</v>
      </c>
      <c r="X24" s="30">
        <v>3.7600000000000001E-2</v>
      </c>
      <c r="Y24" s="30">
        <v>3.7600000000000001E-2</v>
      </c>
      <c r="Z24" s="30">
        <v>3.7600000000000001E-2</v>
      </c>
      <c r="AA24" s="30">
        <v>6.08E-2</v>
      </c>
      <c r="AB24" s="30">
        <v>6.08E-2</v>
      </c>
      <c r="AC24" s="30">
        <v>6.08E-2</v>
      </c>
      <c r="AD24" s="30">
        <v>6.08E-2</v>
      </c>
      <c r="AE24" s="30">
        <v>6.08E-2</v>
      </c>
      <c r="AF24" s="30">
        <v>6.08E-2</v>
      </c>
      <c r="AG24" s="30">
        <v>5.2999999999999999E-2</v>
      </c>
      <c r="AH24" s="30">
        <v>4.24E-2</v>
      </c>
      <c r="AI24" s="30">
        <v>4.0300000000000002E-2</v>
      </c>
      <c r="AJ24" s="30">
        <v>4.5999999999999999E-2</v>
      </c>
      <c r="AK24" s="30">
        <v>2.3599999999999999E-2</v>
      </c>
      <c r="AL24" s="30">
        <v>2.3599999999999999E-2</v>
      </c>
      <c r="AM24" s="30">
        <v>2.3599999999999999E-2</v>
      </c>
      <c r="AN24" s="30">
        <v>2.3599999999999999E-2</v>
      </c>
      <c r="AO24" s="30">
        <v>4.8300000000000003E-2</v>
      </c>
      <c r="AP24" s="30">
        <v>4.9399999999999999E-2</v>
      </c>
      <c r="AQ24" s="30">
        <v>5.2499999999999998E-2</v>
      </c>
      <c r="AR24" s="30">
        <v>5.2499999999999998E-2</v>
      </c>
    </row>
    <row r="25" spans="3:44" x14ac:dyDescent="0.25">
      <c r="C25" s="28">
        <v>45659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0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>
        <v>0</v>
      </c>
      <c r="AE25" s="30">
        <v>0</v>
      </c>
      <c r="AF25" s="30">
        <v>0</v>
      </c>
      <c r="AG25" s="30">
        <v>0</v>
      </c>
      <c r="AH25" s="30">
        <v>0</v>
      </c>
      <c r="AI25" s="30">
        <v>0</v>
      </c>
      <c r="AJ25" s="30">
        <v>0</v>
      </c>
      <c r="AK25" s="30">
        <v>0</v>
      </c>
      <c r="AL25" s="30">
        <v>0</v>
      </c>
      <c r="AM25" s="30">
        <v>0</v>
      </c>
      <c r="AN25" s="30">
        <v>0</v>
      </c>
      <c r="AO25" s="30">
        <v>0</v>
      </c>
      <c r="AP25" s="30">
        <v>0</v>
      </c>
      <c r="AQ25" s="30">
        <v>0</v>
      </c>
      <c r="AR25" s="30">
        <v>0</v>
      </c>
    </row>
    <row r="29" spans="3:44" x14ac:dyDescent="0.25">
      <c r="C29" s="12" t="s">
        <v>71</v>
      </c>
      <c r="D29" s="31" t="s">
        <v>72</v>
      </c>
    </row>
    <row r="31" spans="3:44" x14ac:dyDescent="0.25">
      <c r="C31" s="27" t="s">
        <v>70</v>
      </c>
      <c r="D31" s="27" t="s">
        <v>69</v>
      </c>
    </row>
    <row r="32" spans="3:44" x14ac:dyDescent="0.25">
      <c r="D32" t="s">
        <v>13</v>
      </c>
      <c r="N32" t="s">
        <v>16</v>
      </c>
      <c r="R32" t="s">
        <v>17</v>
      </c>
      <c r="AA32" t="s">
        <v>21</v>
      </c>
      <c r="AD32" t="s">
        <v>22</v>
      </c>
      <c r="AG32" t="s">
        <v>18</v>
      </c>
      <c r="AK32" t="s">
        <v>24</v>
      </c>
      <c r="AO32" t="s">
        <v>25</v>
      </c>
    </row>
    <row r="33" spans="3:44" x14ac:dyDescent="0.25">
      <c r="C33" s="27" t="s">
        <v>67</v>
      </c>
      <c r="D33" t="s">
        <v>27</v>
      </c>
      <c r="E33" t="s">
        <v>30</v>
      </c>
      <c r="F33" t="s">
        <v>12</v>
      </c>
      <c r="G33" t="s">
        <v>15</v>
      </c>
      <c r="H33" t="s">
        <v>19</v>
      </c>
      <c r="I33" t="s">
        <v>29</v>
      </c>
      <c r="J33" t="s">
        <v>28</v>
      </c>
      <c r="K33" t="s">
        <v>20</v>
      </c>
      <c r="L33" t="s">
        <v>23</v>
      </c>
      <c r="M33" t="s">
        <v>26</v>
      </c>
      <c r="N33" t="s">
        <v>15</v>
      </c>
      <c r="O33" t="s">
        <v>19</v>
      </c>
      <c r="P33" t="s">
        <v>29</v>
      </c>
      <c r="Q33" t="s">
        <v>28</v>
      </c>
      <c r="R33" t="s">
        <v>27</v>
      </c>
      <c r="S33" t="s">
        <v>30</v>
      </c>
      <c r="T33" t="s">
        <v>15</v>
      </c>
      <c r="U33" t="s">
        <v>19</v>
      </c>
      <c r="V33" t="s">
        <v>29</v>
      </c>
      <c r="W33" t="s">
        <v>28</v>
      </c>
      <c r="X33" t="s">
        <v>20</v>
      </c>
      <c r="Y33" t="s">
        <v>23</v>
      </c>
      <c r="Z33" t="s">
        <v>26</v>
      </c>
      <c r="AA33" t="s">
        <v>20</v>
      </c>
      <c r="AB33" t="s">
        <v>23</v>
      </c>
      <c r="AC33" t="s">
        <v>26</v>
      </c>
      <c r="AD33" t="s">
        <v>20</v>
      </c>
      <c r="AE33" t="s">
        <v>23</v>
      </c>
      <c r="AF33" t="s">
        <v>26</v>
      </c>
      <c r="AG33" t="s">
        <v>15</v>
      </c>
      <c r="AH33" t="s">
        <v>19</v>
      </c>
      <c r="AI33" t="s">
        <v>29</v>
      </c>
      <c r="AJ33" t="s">
        <v>28</v>
      </c>
      <c r="AK33" t="s">
        <v>27</v>
      </c>
      <c r="AL33" t="s">
        <v>30</v>
      </c>
      <c r="AM33" t="s">
        <v>23</v>
      </c>
      <c r="AN33" t="s">
        <v>26</v>
      </c>
      <c r="AO33" t="s">
        <v>27</v>
      </c>
      <c r="AP33" t="s">
        <v>30</v>
      </c>
      <c r="AQ33" t="s">
        <v>23</v>
      </c>
      <c r="AR33" t="s">
        <v>26</v>
      </c>
    </row>
    <row r="34" spans="3:44" x14ac:dyDescent="0.25">
      <c r="C34" s="28">
        <v>45201</v>
      </c>
      <c r="D34" s="30">
        <v>5.21E-2</v>
      </c>
      <c r="E34" s="30"/>
      <c r="F34" s="30">
        <v>5.4399999999999997E-2</v>
      </c>
      <c r="G34" s="30">
        <v>5.4399999999999997E-2</v>
      </c>
      <c r="H34" s="30">
        <v>4.2500000000000003E-2</v>
      </c>
      <c r="I34" s="30">
        <v>4.4999999999999998E-2</v>
      </c>
      <c r="J34" s="30">
        <v>4.8599999999999997E-2</v>
      </c>
      <c r="K34" s="30">
        <v>5.4399999999999997E-2</v>
      </c>
      <c r="L34" s="30">
        <v>5.6500000000000002E-2</v>
      </c>
      <c r="M34" s="30">
        <v>5.5500000000000001E-2</v>
      </c>
      <c r="N34" s="30">
        <v>3.9E-2</v>
      </c>
      <c r="O34" s="30">
        <v>2.64E-2</v>
      </c>
      <c r="P34" s="30">
        <v>2.5000000000000001E-2</v>
      </c>
      <c r="Q34" s="30">
        <v>3.1600000000000003E-2</v>
      </c>
      <c r="R34" s="30">
        <v>4.0300000000000002E-2</v>
      </c>
      <c r="S34" s="30"/>
      <c r="T34" s="30">
        <v>4.5100000000000001E-2</v>
      </c>
      <c r="U34" s="30">
        <v>3.1800000000000002E-2</v>
      </c>
      <c r="V34" s="30">
        <v>4.1700000000000001E-2</v>
      </c>
      <c r="W34" s="30">
        <v>4.6300000000000001E-2</v>
      </c>
      <c r="X34" s="30">
        <v>4.5100000000000001E-2</v>
      </c>
      <c r="Y34" s="30">
        <v>4.5100000000000001E-2</v>
      </c>
      <c r="Z34" s="30">
        <v>4.5100000000000001E-2</v>
      </c>
      <c r="AA34" s="30">
        <v>6.3399999999999998E-2</v>
      </c>
      <c r="AB34" s="30">
        <v>6.3399999999999998E-2</v>
      </c>
      <c r="AC34" s="30">
        <v>6.3399999999999998E-2</v>
      </c>
      <c r="AD34" s="30">
        <v>6.3399999999999998E-2</v>
      </c>
      <c r="AE34" s="30">
        <v>6.3399999999999998E-2</v>
      </c>
      <c r="AF34" s="30">
        <v>6.3399999999999998E-2</v>
      </c>
      <c r="AG34" s="30">
        <v>5.3100000000000001E-2</v>
      </c>
      <c r="AH34" s="30">
        <v>4.2500000000000003E-2</v>
      </c>
      <c r="AI34" s="30">
        <v>4.0399999999999998E-2</v>
      </c>
      <c r="AJ34" s="30">
        <v>4.5999999999999999E-2</v>
      </c>
      <c r="AK34" s="30">
        <v>2.2200000000000001E-2</v>
      </c>
      <c r="AL34" s="30"/>
      <c r="AM34" s="30">
        <v>2.2200000000000001E-2</v>
      </c>
      <c r="AN34" s="30">
        <v>2.2200000000000001E-2</v>
      </c>
      <c r="AO34" s="30">
        <v>4.9700000000000001E-2</v>
      </c>
      <c r="AP34" s="30"/>
      <c r="AQ34" s="30">
        <v>5.4100000000000002E-2</v>
      </c>
      <c r="AR34" s="30">
        <v>5.3100000000000001E-2</v>
      </c>
    </row>
    <row r="35" spans="3:44" x14ac:dyDescent="0.25">
      <c r="C35" s="28">
        <v>45231</v>
      </c>
      <c r="D35" s="30">
        <v>5.1900000000000002E-2</v>
      </c>
      <c r="E35" s="30"/>
      <c r="F35" s="30">
        <v>5.4100000000000002E-2</v>
      </c>
      <c r="G35" s="30">
        <v>5.4100000000000002E-2</v>
      </c>
      <c r="H35" s="30">
        <v>4.2500000000000003E-2</v>
      </c>
      <c r="I35" s="30">
        <v>4.4900000000000002E-2</v>
      </c>
      <c r="J35" s="30">
        <v>4.8500000000000001E-2</v>
      </c>
      <c r="K35" s="30">
        <v>5.4100000000000002E-2</v>
      </c>
      <c r="L35" s="30">
        <v>5.6099999999999997E-2</v>
      </c>
      <c r="M35" s="30">
        <v>5.5100000000000003E-2</v>
      </c>
      <c r="N35" s="30">
        <v>3.8800000000000001E-2</v>
      </c>
      <c r="O35" s="30">
        <v>2.63E-2</v>
      </c>
      <c r="P35" s="30">
        <v>2.5000000000000001E-2</v>
      </c>
      <c r="Q35" s="30">
        <v>3.15E-2</v>
      </c>
      <c r="R35" s="30">
        <v>3.6200000000000003E-2</v>
      </c>
      <c r="S35" s="30"/>
      <c r="T35" s="30">
        <v>4.0899999999999999E-2</v>
      </c>
      <c r="U35" s="30">
        <v>3.6200000000000003E-2</v>
      </c>
      <c r="V35" s="30">
        <v>3.7600000000000001E-2</v>
      </c>
      <c r="W35" s="30">
        <v>4.2099999999999999E-2</v>
      </c>
      <c r="X35" s="30">
        <v>4.0899999999999999E-2</v>
      </c>
      <c r="Y35" s="30">
        <v>4.0899999999999999E-2</v>
      </c>
      <c r="Z35" s="30">
        <v>4.0899999999999999E-2</v>
      </c>
      <c r="AA35" s="30">
        <v>6.2600000000000003E-2</v>
      </c>
      <c r="AB35" s="30">
        <v>6.2600000000000003E-2</v>
      </c>
      <c r="AC35" s="30">
        <v>6.2600000000000003E-2</v>
      </c>
      <c r="AD35" s="30">
        <v>6.2600000000000003E-2</v>
      </c>
      <c r="AE35" s="30">
        <v>6.2600000000000003E-2</v>
      </c>
      <c r="AF35" s="30">
        <v>6.2600000000000003E-2</v>
      </c>
      <c r="AG35" s="30">
        <v>5.4100000000000002E-2</v>
      </c>
      <c r="AH35" s="30">
        <v>4.3299999999999998E-2</v>
      </c>
      <c r="AI35" s="30">
        <v>4.1099999999999998E-2</v>
      </c>
      <c r="AJ35" s="30">
        <v>4.6899999999999997E-2</v>
      </c>
      <c r="AK35" s="30">
        <v>2.23E-2</v>
      </c>
      <c r="AL35" s="30"/>
      <c r="AM35" s="30">
        <v>2.23E-2</v>
      </c>
      <c r="AN35" s="30">
        <v>2.23E-2</v>
      </c>
      <c r="AO35" s="30">
        <v>4.9500000000000002E-2</v>
      </c>
      <c r="AP35" s="30"/>
      <c r="AQ35" s="30">
        <v>5.3800000000000001E-2</v>
      </c>
      <c r="AR35" s="30">
        <v>5.28E-2</v>
      </c>
    </row>
    <row r="36" spans="3:44" x14ac:dyDescent="0.25">
      <c r="C36" s="28">
        <v>45261</v>
      </c>
      <c r="D36" s="30">
        <v>5.1700000000000003E-2</v>
      </c>
      <c r="E36" s="30"/>
      <c r="F36" s="30">
        <v>5.3900000000000003E-2</v>
      </c>
      <c r="G36" s="30">
        <v>5.3900000000000003E-2</v>
      </c>
      <c r="H36" s="30">
        <v>4.2099999999999999E-2</v>
      </c>
      <c r="I36" s="30">
        <v>4.4600000000000001E-2</v>
      </c>
      <c r="J36" s="30">
        <v>4.82E-2</v>
      </c>
      <c r="K36" s="30">
        <v>5.3900000000000003E-2</v>
      </c>
      <c r="L36" s="30">
        <v>5.6099999999999997E-2</v>
      </c>
      <c r="M36" s="30">
        <v>5.5E-2</v>
      </c>
      <c r="N36" s="30">
        <v>3.8600000000000002E-2</v>
      </c>
      <c r="O36" s="30">
        <v>2.6100000000000002E-2</v>
      </c>
      <c r="P36" s="30">
        <v>2.47E-2</v>
      </c>
      <c r="Q36" s="30">
        <v>3.1300000000000001E-2</v>
      </c>
      <c r="R36" s="30">
        <v>4.1599999999999998E-2</v>
      </c>
      <c r="S36" s="30"/>
      <c r="T36" s="30">
        <v>4.6300000000000001E-2</v>
      </c>
      <c r="U36" s="30">
        <v>4.1599999999999998E-2</v>
      </c>
      <c r="V36" s="30">
        <v>4.2999999999999997E-2</v>
      </c>
      <c r="W36" s="30">
        <v>4.7600000000000003E-2</v>
      </c>
      <c r="X36" s="30">
        <v>4.6300000000000001E-2</v>
      </c>
      <c r="Y36" s="30">
        <v>4.6300000000000001E-2</v>
      </c>
      <c r="Z36" s="30">
        <v>4.6300000000000001E-2</v>
      </c>
      <c r="AA36" s="30">
        <v>6.3E-2</v>
      </c>
      <c r="AB36" s="30">
        <v>6.3E-2</v>
      </c>
      <c r="AC36" s="30">
        <v>6.3E-2</v>
      </c>
      <c r="AD36" s="30">
        <v>6.3E-2</v>
      </c>
      <c r="AE36" s="30">
        <v>6.3E-2</v>
      </c>
      <c r="AF36" s="30">
        <v>6.3E-2</v>
      </c>
      <c r="AG36" s="30">
        <v>5.2900000000000003E-2</v>
      </c>
      <c r="AH36" s="30">
        <v>4.2299999999999997E-2</v>
      </c>
      <c r="AI36" s="30">
        <v>4.02E-2</v>
      </c>
      <c r="AJ36" s="30">
        <v>4.5900000000000003E-2</v>
      </c>
      <c r="AK36" s="30">
        <v>2.2200000000000001E-2</v>
      </c>
      <c r="AL36" s="30"/>
      <c r="AM36" s="30">
        <v>2.2200000000000001E-2</v>
      </c>
      <c r="AN36" s="30">
        <v>2.2200000000000001E-2</v>
      </c>
      <c r="AO36" s="30">
        <v>4.9599999999999998E-2</v>
      </c>
      <c r="AP36" s="30"/>
      <c r="AQ36" s="30">
        <v>5.4100000000000002E-2</v>
      </c>
      <c r="AR36" s="30">
        <v>5.2999999999999999E-2</v>
      </c>
    </row>
    <row r="37" spans="3:44" x14ac:dyDescent="0.25">
      <c r="C37" s="28">
        <v>45293</v>
      </c>
      <c r="D37" s="30">
        <v>5.1200000000000002E-2</v>
      </c>
      <c r="E37" s="30"/>
      <c r="F37" s="30">
        <v>5.33E-2</v>
      </c>
      <c r="G37" s="30">
        <v>5.33E-2</v>
      </c>
      <c r="H37" s="30">
        <v>4.1799999999999997E-2</v>
      </c>
      <c r="I37" s="30">
        <v>4.4299999999999999E-2</v>
      </c>
      <c r="J37" s="30">
        <v>4.7800000000000002E-2</v>
      </c>
      <c r="K37" s="30">
        <v>5.33E-2</v>
      </c>
      <c r="L37" s="30">
        <v>5.5399999999999998E-2</v>
      </c>
      <c r="M37" s="30">
        <v>5.4399999999999997E-2</v>
      </c>
      <c r="N37" s="30">
        <v>3.8199999999999998E-2</v>
      </c>
      <c r="O37" s="30">
        <v>2.5899999999999999E-2</v>
      </c>
      <c r="P37" s="30">
        <v>2.46E-2</v>
      </c>
      <c r="Q37" s="30">
        <v>3.1E-2</v>
      </c>
      <c r="R37" s="30">
        <v>3.7199999999999997E-2</v>
      </c>
      <c r="S37" s="30"/>
      <c r="T37" s="30">
        <v>4.1799999999999997E-2</v>
      </c>
      <c r="U37" s="30">
        <v>3.7199999999999997E-2</v>
      </c>
      <c r="V37" s="30">
        <v>3.8600000000000002E-2</v>
      </c>
      <c r="W37" s="30">
        <v>4.2999999999999997E-2</v>
      </c>
      <c r="X37" s="30">
        <v>4.1799999999999997E-2</v>
      </c>
      <c r="Y37" s="30">
        <v>4.1799999999999997E-2</v>
      </c>
      <c r="Z37" s="30">
        <v>4.1799999999999997E-2</v>
      </c>
      <c r="AA37" s="30">
        <v>6.2E-2</v>
      </c>
      <c r="AB37" s="30">
        <v>6.2E-2</v>
      </c>
      <c r="AC37" s="30">
        <v>6.2E-2</v>
      </c>
      <c r="AD37" s="30">
        <v>6.2E-2</v>
      </c>
      <c r="AE37" s="30">
        <v>6.2E-2</v>
      </c>
      <c r="AF37" s="30">
        <v>6.2E-2</v>
      </c>
      <c r="AG37" s="30">
        <v>5.3699999999999998E-2</v>
      </c>
      <c r="AH37" s="30">
        <v>4.2900000000000001E-2</v>
      </c>
      <c r="AI37" s="30">
        <v>4.0800000000000003E-2</v>
      </c>
      <c r="AJ37" s="30">
        <v>4.65E-2</v>
      </c>
      <c r="AK37" s="30">
        <v>2.2200000000000001E-2</v>
      </c>
      <c r="AL37" s="30"/>
      <c r="AM37" s="30">
        <v>2.2200000000000001E-2</v>
      </c>
      <c r="AN37" s="30">
        <v>2.2200000000000001E-2</v>
      </c>
      <c r="AO37" s="30">
        <v>4.9500000000000002E-2</v>
      </c>
      <c r="AP37" s="30"/>
      <c r="AQ37" s="30">
        <v>5.3900000000000003E-2</v>
      </c>
      <c r="AR37" s="30">
        <v>5.28E-2</v>
      </c>
    </row>
    <row r="38" spans="3:44" x14ac:dyDescent="0.25">
      <c r="C38" s="28">
        <v>45323</v>
      </c>
      <c r="D38" s="30">
        <v>5.0799999999999998E-2</v>
      </c>
      <c r="E38" s="30"/>
      <c r="F38" s="30">
        <v>5.2900000000000003E-2</v>
      </c>
      <c r="G38" s="30">
        <v>5.2900000000000003E-2</v>
      </c>
      <c r="H38" s="30">
        <v>4.1799999999999997E-2</v>
      </c>
      <c r="I38" s="30">
        <v>4.41E-2</v>
      </c>
      <c r="J38" s="30">
        <v>4.7600000000000003E-2</v>
      </c>
      <c r="K38" s="30">
        <v>5.2900000000000003E-2</v>
      </c>
      <c r="L38" s="30">
        <v>5.4899999999999997E-2</v>
      </c>
      <c r="M38" s="30">
        <v>5.3999999999999999E-2</v>
      </c>
      <c r="N38" s="30">
        <v>3.7900000000000003E-2</v>
      </c>
      <c r="O38" s="30">
        <v>2.5899999999999999E-2</v>
      </c>
      <c r="P38" s="30">
        <v>2.46E-2</v>
      </c>
      <c r="Q38" s="30">
        <v>3.09E-2</v>
      </c>
      <c r="R38" s="30">
        <v>3.3599999999999998E-2</v>
      </c>
      <c r="S38" s="30"/>
      <c r="T38" s="30">
        <v>3.8100000000000002E-2</v>
      </c>
      <c r="U38" s="30">
        <v>3.3599999999999998E-2</v>
      </c>
      <c r="V38" s="30">
        <v>3.49E-2</v>
      </c>
      <c r="W38" s="30">
        <v>3.9199999999999999E-2</v>
      </c>
      <c r="X38" s="30">
        <v>3.8100000000000002E-2</v>
      </c>
      <c r="Y38" s="30">
        <v>3.8100000000000002E-2</v>
      </c>
      <c r="Z38" s="30">
        <v>3.8100000000000002E-2</v>
      </c>
      <c r="AA38" s="30">
        <v>6.1100000000000002E-2</v>
      </c>
      <c r="AB38" s="30">
        <v>6.1100000000000002E-2</v>
      </c>
      <c r="AC38" s="30">
        <v>6.1100000000000002E-2</v>
      </c>
      <c r="AD38" s="30">
        <v>6.1100000000000002E-2</v>
      </c>
      <c r="AE38" s="30">
        <v>6.1100000000000002E-2</v>
      </c>
      <c r="AF38" s="30">
        <v>6.1100000000000002E-2</v>
      </c>
      <c r="AG38" s="30">
        <v>5.3999999999999999E-2</v>
      </c>
      <c r="AH38" s="30">
        <v>4.3200000000000002E-2</v>
      </c>
      <c r="AI38" s="30">
        <v>4.1000000000000002E-2</v>
      </c>
      <c r="AJ38" s="30">
        <v>4.6800000000000001E-2</v>
      </c>
      <c r="AK38" s="30">
        <v>2.2200000000000001E-2</v>
      </c>
      <c r="AL38" s="30"/>
      <c r="AM38" s="30">
        <v>2.2200000000000001E-2</v>
      </c>
      <c r="AN38" s="30">
        <v>2.2200000000000001E-2</v>
      </c>
      <c r="AO38" s="30">
        <v>4.9200000000000001E-2</v>
      </c>
      <c r="AP38" s="30"/>
      <c r="AQ38" s="30">
        <v>5.3499999999999999E-2</v>
      </c>
      <c r="AR38" s="30">
        <v>5.2499999999999998E-2</v>
      </c>
    </row>
    <row r="39" spans="3:44" x14ac:dyDescent="0.25">
      <c r="C39" s="28">
        <v>45352</v>
      </c>
      <c r="D39" s="30">
        <v>4.9700000000000001E-2</v>
      </c>
      <c r="E39" s="30"/>
      <c r="F39" s="30">
        <v>5.1700000000000003E-2</v>
      </c>
      <c r="G39" s="30">
        <v>5.1700000000000003E-2</v>
      </c>
      <c r="H39" s="30">
        <v>4.1000000000000002E-2</v>
      </c>
      <c r="I39" s="30">
        <v>4.3299999999999998E-2</v>
      </c>
      <c r="J39" s="30">
        <v>4.6600000000000003E-2</v>
      </c>
      <c r="K39" s="30">
        <v>5.1700000000000003E-2</v>
      </c>
      <c r="L39" s="30">
        <v>5.3600000000000002E-2</v>
      </c>
      <c r="M39" s="30">
        <v>5.2699999999999997E-2</v>
      </c>
      <c r="N39" s="30">
        <v>3.6999999999999998E-2</v>
      </c>
      <c r="O39" s="30">
        <v>2.5399999999999999E-2</v>
      </c>
      <c r="P39" s="30">
        <v>2.4199999999999999E-2</v>
      </c>
      <c r="Q39" s="30">
        <v>3.0300000000000001E-2</v>
      </c>
      <c r="R39" s="30">
        <v>3.0300000000000001E-2</v>
      </c>
      <c r="S39" s="30"/>
      <c r="T39" s="30">
        <v>3.4599999999999999E-2</v>
      </c>
      <c r="U39" s="30">
        <v>3.0300000000000001E-2</v>
      </c>
      <c r="V39" s="30">
        <v>3.15E-2</v>
      </c>
      <c r="W39" s="30">
        <v>3.5700000000000003E-2</v>
      </c>
      <c r="X39" s="30">
        <v>3.4599999999999999E-2</v>
      </c>
      <c r="Y39" s="30">
        <v>3.4599999999999999E-2</v>
      </c>
      <c r="Z39" s="30">
        <v>3.4599999999999999E-2</v>
      </c>
      <c r="AA39" s="30">
        <v>5.9299999999999999E-2</v>
      </c>
      <c r="AB39" s="30">
        <v>5.9299999999999999E-2</v>
      </c>
      <c r="AC39" s="30">
        <v>5.9299999999999999E-2</v>
      </c>
      <c r="AD39" s="30">
        <v>5.9299999999999999E-2</v>
      </c>
      <c r="AE39" s="30">
        <v>5.9299999999999999E-2</v>
      </c>
      <c r="AF39" s="30">
        <v>5.9299999999999999E-2</v>
      </c>
      <c r="AG39" s="30">
        <v>5.3699999999999998E-2</v>
      </c>
      <c r="AH39" s="30">
        <v>4.2900000000000001E-2</v>
      </c>
      <c r="AI39" s="30">
        <v>4.0800000000000003E-2</v>
      </c>
      <c r="AJ39" s="30">
        <v>4.65E-2</v>
      </c>
      <c r="AK39" s="30">
        <v>2.24E-2</v>
      </c>
      <c r="AL39" s="30"/>
      <c r="AM39" s="30">
        <v>2.24E-2</v>
      </c>
      <c r="AN39" s="30">
        <v>2.24E-2</v>
      </c>
      <c r="AO39" s="30">
        <v>4.8800000000000003E-2</v>
      </c>
      <c r="AP39" s="30"/>
      <c r="AQ39" s="30">
        <v>5.2999999999999999E-2</v>
      </c>
      <c r="AR39" s="30">
        <v>5.1999999999999998E-2</v>
      </c>
    </row>
    <row r="40" spans="3:44" x14ac:dyDescent="0.25">
      <c r="C40" s="28">
        <v>45383</v>
      </c>
      <c r="D40" s="30">
        <v>5.0200000000000002E-2</v>
      </c>
      <c r="E40" s="30"/>
      <c r="F40" s="30">
        <v>5.2200000000000003E-2</v>
      </c>
      <c r="G40" s="30">
        <v>5.2200000000000003E-2</v>
      </c>
      <c r="H40" s="30">
        <v>4.1300000000000003E-2</v>
      </c>
      <c r="I40" s="30">
        <v>4.36E-2</v>
      </c>
      <c r="J40" s="30">
        <v>4.7E-2</v>
      </c>
      <c r="K40" s="30">
        <v>5.2200000000000003E-2</v>
      </c>
      <c r="L40" s="30">
        <v>5.4100000000000002E-2</v>
      </c>
      <c r="M40" s="30">
        <v>5.3199999999999997E-2</v>
      </c>
      <c r="N40" s="30">
        <v>3.7400000000000003E-2</v>
      </c>
      <c r="O40" s="30">
        <v>2.5600000000000001E-2</v>
      </c>
      <c r="P40" s="30">
        <v>2.4400000000000002E-2</v>
      </c>
      <c r="Q40" s="30">
        <v>3.0499999999999999E-2</v>
      </c>
      <c r="R40" s="30">
        <v>3.3300000000000003E-2</v>
      </c>
      <c r="S40" s="30"/>
      <c r="T40" s="30">
        <v>3.7600000000000001E-2</v>
      </c>
      <c r="U40" s="30">
        <v>3.3300000000000003E-2</v>
      </c>
      <c r="V40" s="30">
        <v>3.4599999999999999E-2</v>
      </c>
      <c r="W40" s="30">
        <v>3.8800000000000001E-2</v>
      </c>
      <c r="X40" s="30">
        <v>3.7600000000000001E-2</v>
      </c>
      <c r="Y40" s="30">
        <v>3.7600000000000001E-2</v>
      </c>
      <c r="Z40" s="30">
        <v>3.7600000000000001E-2</v>
      </c>
      <c r="AA40" s="30">
        <v>0.06</v>
      </c>
      <c r="AB40" s="30">
        <v>0.06</v>
      </c>
      <c r="AC40" s="30">
        <v>0.06</v>
      </c>
      <c r="AD40" s="30">
        <v>0.06</v>
      </c>
      <c r="AE40" s="30">
        <v>0.06</v>
      </c>
      <c r="AF40" s="30">
        <v>0.06</v>
      </c>
      <c r="AG40" s="30">
        <v>5.4399999999999997E-2</v>
      </c>
      <c r="AH40" s="30">
        <v>4.3499999999999997E-2</v>
      </c>
      <c r="AI40" s="30">
        <v>4.1300000000000003E-2</v>
      </c>
      <c r="AJ40" s="30">
        <v>4.7100000000000003E-2</v>
      </c>
      <c r="AK40" s="30">
        <v>2.2700000000000001E-2</v>
      </c>
      <c r="AL40" s="30"/>
      <c r="AM40" s="30">
        <v>2.2700000000000001E-2</v>
      </c>
      <c r="AN40" s="30">
        <v>2.2700000000000001E-2</v>
      </c>
      <c r="AO40" s="30">
        <v>4.5600000000000002E-2</v>
      </c>
      <c r="AP40" s="30"/>
      <c r="AQ40" s="30">
        <v>4.9599999999999998E-2</v>
      </c>
      <c r="AR40" s="30">
        <v>4.8599999999999997E-2</v>
      </c>
    </row>
    <row r="41" spans="3:44" x14ac:dyDescent="0.25">
      <c r="C41" s="28">
        <v>45413</v>
      </c>
      <c r="D41" s="30">
        <v>4.9299999999999997E-2</v>
      </c>
      <c r="E41" s="30"/>
      <c r="F41" s="30">
        <v>5.1299999999999998E-2</v>
      </c>
      <c r="G41" s="30">
        <v>5.1299999999999998E-2</v>
      </c>
      <c r="H41" s="30">
        <v>4.0599999999999997E-2</v>
      </c>
      <c r="I41" s="30">
        <v>4.36E-2</v>
      </c>
      <c r="J41" s="30">
        <v>4.7E-2</v>
      </c>
      <c r="K41" s="30">
        <v>5.1299999999999998E-2</v>
      </c>
      <c r="L41" s="30">
        <v>5.3199999999999997E-2</v>
      </c>
      <c r="M41" s="30">
        <v>5.2299999999999999E-2</v>
      </c>
      <c r="N41" s="30">
        <v>3.6700000000000003E-2</v>
      </c>
      <c r="O41" s="30">
        <v>2.52E-2</v>
      </c>
      <c r="P41" s="30">
        <v>2.4400000000000002E-2</v>
      </c>
      <c r="Q41" s="30">
        <v>3.0499999999999999E-2</v>
      </c>
      <c r="R41" s="30">
        <v>3.5099999999999999E-2</v>
      </c>
      <c r="S41" s="30"/>
      <c r="T41" s="30">
        <v>3.9399999999999998E-2</v>
      </c>
      <c r="U41" s="30">
        <v>3.5099999999999999E-2</v>
      </c>
      <c r="V41" s="30">
        <v>3.4599999999999999E-2</v>
      </c>
      <c r="W41" s="30">
        <v>3.8800000000000001E-2</v>
      </c>
      <c r="X41" s="30">
        <v>3.9399999999999998E-2</v>
      </c>
      <c r="Y41" s="30">
        <v>3.9399999999999998E-2</v>
      </c>
      <c r="Z41" s="30">
        <v>3.9399999999999998E-2</v>
      </c>
      <c r="AA41" s="30">
        <v>5.8999999999999997E-2</v>
      </c>
      <c r="AB41" s="30">
        <v>5.8999999999999997E-2</v>
      </c>
      <c r="AC41" s="30">
        <v>5.8999999999999997E-2</v>
      </c>
      <c r="AD41" s="30">
        <v>5.8999999999999997E-2</v>
      </c>
      <c r="AE41" s="30">
        <v>5.8999999999999997E-2</v>
      </c>
      <c r="AF41" s="30">
        <v>5.8999999999999997E-2</v>
      </c>
      <c r="AG41" s="30">
        <v>5.4300000000000001E-2</v>
      </c>
      <c r="AH41" s="30">
        <v>4.3499999999999997E-2</v>
      </c>
      <c r="AI41" s="30">
        <v>4.1300000000000003E-2</v>
      </c>
      <c r="AJ41" s="30">
        <v>4.7100000000000003E-2</v>
      </c>
      <c r="AK41" s="30">
        <v>2.2700000000000001E-2</v>
      </c>
      <c r="AL41" s="30"/>
      <c r="AM41" s="30">
        <v>2.2700000000000001E-2</v>
      </c>
      <c r="AN41" s="30">
        <v>2.2700000000000001E-2</v>
      </c>
      <c r="AO41" s="30">
        <v>4.7899999999999998E-2</v>
      </c>
      <c r="AP41" s="30"/>
      <c r="AQ41" s="30">
        <v>5.1999999999999998E-2</v>
      </c>
      <c r="AR41" s="30">
        <v>5.0999999999999997E-2</v>
      </c>
    </row>
    <row r="42" spans="3:44" x14ac:dyDescent="0.25">
      <c r="C42" s="28">
        <v>45446</v>
      </c>
      <c r="D42" s="30">
        <v>4.9799999999999997E-2</v>
      </c>
      <c r="E42" s="30"/>
      <c r="F42" s="30">
        <v>5.1900000000000002E-2</v>
      </c>
      <c r="G42" s="30">
        <v>5.1900000000000002E-2</v>
      </c>
      <c r="H42" s="30">
        <v>4.0899999999999999E-2</v>
      </c>
      <c r="I42" s="30">
        <v>4.36E-2</v>
      </c>
      <c r="J42" s="30">
        <v>4.7E-2</v>
      </c>
      <c r="K42" s="30">
        <v>5.1900000000000002E-2</v>
      </c>
      <c r="L42" s="30">
        <v>5.4800000000000001E-2</v>
      </c>
      <c r="M42" s="30">
        <v>5.4800000000000001E-2</v>
      </c>
      <c r="N42" s="30">
        <v>3.7100000000000001E-2</v>
      </c>
      <c r="O42" s="30">
        <v>2.5399999999999999E-2</v>
      </c>
      <c r="P42" s="30">
        <v>2.4400000000000002E-2</v>
      </c>
      <c r="Q42" s="30">
        <v>3.0499999999999999E-2</v>
      </c>
      <c r="R42" s="30">
        <v>3.8399999999999997E-2</v>
      </c>
      <c r="S42" s="30"/>
      <c r="T42" s="30">
        <v>4.2799999999999998E-2</v>
      </c>
      <c r="U42" s="30">
        <v>3.8399999999999997E-2</v>
      </c>
      <c r="V42" s="30">
        <v>3.4599999999999999E-2</v>
      </c>
      <c r="W42" s="30">
        <v>3.8800000000000001E-2</v>
      </c>
      <c r="X42" s="30">
        <v>4.2799999999999998E-2</v>
      </c>
      <c r="Y42" s="30">
        <v>4.2799999999999998E-2</v>
      </c>
      <c r="Z42" s="30">
        <v>4.2799999999999998E-2</v>
      </c>
      <c r="AA42" s="30">
        <v>0.06</v>
      </c>
      <c r="AB42" s="30">
        <v>0.06</v>
      </c>
      <c r="AC42" s="30">
        <v>0.06</v>
      </c>
      <c r="AD42" s="30">
        <v>0.06</v>
      </c>
      <c r="AE42" s="30">
        <v>0.06</v>
      </c>
      <c r="AF42" s="30">
        <v>0.06</v>
      </c>
      <c r="AG42" s="30">
        <v>5.3900000000000003E-2</v>
      </c>
      <c r="AH42" s="30">
        <v>4.3099999999999999E-2</v>
      </c>
      <c r="AI42" s="30">
        <v>4.1300000000000003E-2</v>
      </c>
      <c r="AJ42" s="30">
        <v>4.7100000000000003E-2</v>
      </c>
      <c r="AK42" s="30">
        <v>2.2499999999999999E-2</v>
      </c>
      <c r="AL42" s="30"/>
      <c r="AM42" s="30">
        <v>2.2499999999999999E-2</v>
      </c>
      <c r="AN42" s="30">
        <v>2.2499999999999999E-2</v>
      </c>
      <c r="AO42" s="30">
        <v>4.8099999999999997E-2</v>
      </c>
      <c r="AP42" s="30"/>
      <c r="AQ42" s="30">
        <v>5.33E-2</v>
      </c>
      <c r="AR42" s="30">
        <v>5.33E-2</v>
      </c>
    </row>
    <row r="43" spans="3:44" x14ac:dyDescent="0.25">
      <c r="C43" s="28">
        <v>45474</v>
      </c>
      <c r="D43" s="30">
        <v>4.9000000000000002E-2</v>
      </c>
      <c r="E43" s="30"/>
      <c r="F43" s="30">
        <v>5.0999999999999997E-2</v>
      </c>
      <c r="G43" s="30">
        <v>5.0999999999999997E-2</v>
      </c>
      <c r="H43" s="30">
        <v>4.0399999999999998E-2</v>
      </c>
      <c r="I43" s="30">
        <v>4.36E-2</v>
      </c>
      <c r="J43" s="30">
        <v>4.7E-2</v>
      </c>
      <c r="K43" s="30">
        <v>5.0999999999999997E-2</v>
      </c>
      <c r="L43" s="30">
        <v>5.28E-2</v>
      </c>
      <c r="M43" s="30">
        <v>5.1900000000000002E-2</v>
      </c>
      <c r="N43" s="30">
        <v>3.6499999999999998E-2</v>
      </c>
      <c r="O43" s="30">
        <v>2.5100000000000001E-2</v>
      </c>
      <c r="P43" s="30">
        <v>2.4400000000000002E-2</v>
      </c>
      <c r="Q43" s="30">
        <v>3.0499999999999999E-2</v>
      </c>
      <c r="R43" s="30">
        <v>3.1800000000000002E-2</v>
      </c>
      <c r="S43" s="30"/>
      <c r="T43" s="30">
        <v>3.5999999999999997E-2</v>
      </c>
      <c r="U43" s="30">
        <v>3.1800000000000002E-2</v>
      </c>
      <c r="V43" s="30">
        <v>3.4599999999999999E-2</v>
      </c>
      <c r="W43" s="30">
        <v>3.8800000000000001E-2</v>
      </c>
      <c r="X43" s="30">
        <v>3.5999999999999997E-2</v>
      </c>
      <c r="Y43" s="30">
        <v>3.5999999999999997E-2</v>
      </c>
      <c r="Z43" s="30">
        <v>3.5999999999999997E-2</v>
      </c>
      <c r="AA43" s="30">
        <v>5.8500000000000003E-2</v>
      </c>
      <c r="AB43" s="30">
        <v>5.8500000000000003E-2</v>
      </c>
      <c r="AC43" s="30">
        <v>5.8500000000000003E-2</v>
      </c>
      <c r="AD43" s="30">
        <v>5.8500000000000003E-2</v>
      </c>
      <c r="AE43" s="30">
        <v>5.8500000000000003E-2</v>
      </c>
      <c r="AF43" s="30">
        <v>5.8500000000000003E-2</v>
      </c>
      <c r="AG43" s="30">
        <v>5.5300000000000002E-2</v>
      </c>
      <c r="AH43" s="30">
        <v>4.4200000000000003E-2</v>
      </c>
      <c r="AI43" s="30">
        <v>4.1300000000000003E-2</v>
      </c>
      <c r="AJ43" s="30">
        <v>4.7100000000000003E-2</v>
      </c>
      <c r="AK43" s="30">
        <v>2.2499999999999999E-2</v>
      </c>
      <c r="AL43" s="30"/>
      <c r="AM43" s="30">
        <v>2.2499999999999999E-2</v>
      </c>
      <c r="AN43" s="30">
        <v>2.2499999999999999E-2</v>
      </c>
      <c r="AO43" s="30">
        <v>4.7399999999999998E-2</v>
      </c>
      <c r="AP43" s="30"/>
      <c r="AQ43" s="30">
        <v>5.1400000000000001E-2</v>
      </c>
      <c r="AR43" s="30">
        <v>5.04E-2</v>
      </c>
    </row>
    <row r="44" spans="3:44" x14ac:dyDescent="0.25">
      <c r="C44" s="28">
        <v>45505</v>
      </c>
      <c r="D44" s="30">
        <v>4.9599999999999998E-2</v>
      </c>
      <c r="E44" s="30">
        <v>5.0599999999999999E-2</v>
      </c>
      <c r="F44" s="30">
        <v>5.1499999999999997E-2</v>
      </c>
      <c r="G44" s="30">
        <v>5.1499999999999997E-2</v>
      </c>
      <c r="H44" s="30">
        <v>4.0899999999999999E-2</v>
      </c>
      <c r="I44" s="30">
        <v>4.3200000000000002E-2</v>
      </c>
      <c r="J44" s="30">
        <v>4.65E-2</v>
      </c>
      <c r="K44" s="30">
        <v>5.1499999999999997E-2</v>
      </c>
      <c r="L44" s="30">
        <v>5.3400000000000003E-2</v>
      </c>
      <c r="M44" s="30">
        <v>5.2499999999999998E-2</v>
      </c>
      <c r="N44" s="30">
        <v>3.6900000000000002E-2</v>
      </c>
      <c r="O44" s="30">
        <v>3.4700000000000002E-2</v>
      </c>
      <c r="P44" s="30">
        <v>2.4199999999999999E-2</v>
      </c>
      <c r="Q44" s="30">
        <v>3.0200000000000001E-2</v>
      </c>
      <c r="R44" s="30">
        <v>3.1099999999999999E-2</v>
      </c>
      <c r="S44" s="30">
        <v>3.1099999999999999E-2</v>
      </c>
      <c r="T44" s="30">
        <v>3.5400000000000001E-2</v>
      </c>
      <c r="U44" s="30">
        <v>3.1099999999999999E-2</v>
      </c>
      <c r="V44" s="30">
        <v>3.2399999999999998E-2</v>
      </c>
      <c r="W44" s="30">
        <v>3.6499999999999998E-2</v>
      </c>
      <c r="X44" s="30">
        <v>3.5400000000000001E-2</v>
      </c>
      <c r="Y44" s="30">
        <v>3.5400000000000001E-2</v>
      </c>
      <c r="Z44" s="30">
        <v>3.5400000000000001E-2</v>
      </c>
      <c r="AA44" s="30">
        <v>5.8999999999999997E-2</v>
      </c>
      <c r="AB44" s="30">
        <v>5.8999999999999997E-2</v>
      </c>
      <c r="AC44" s="30">
        <v>5.8999999999999997E-2</v>
      </c>
      <c r="AD44" s="30">
        <v>5.8999999999999997E-2</v>
      </c>
      <c r="AE44" s="30">
        <v>5.8999999999999997E-2</v>
      </c>
      <c r="AF44" s="30">
        <v>5.8999999999999997E-2</v>
      </c>
      <c r="AG44" s="30">
        <v>5.5100000000000003E-2</v>
      </c>
      <c r="AH44" s="30">
        <v>4.41E-2</v>
      </c>
      <c r="AI44" s="30">
        <v>4.19E-2</v>
      </c>
      <c r="AJ44" s="30">
        <v>4.7699999999999999E-2</v>
      </c>
      <c r="AK44" s="30">
        <v>2.2800000000000001E-2</v>
      </c>
      <c r="AL44" s="30">
        <v>2.2800000000000001E-2</v>
      </c>
      <c r="AM44" s="30">
        <v>2.2800000000000001E-2</v>
      </c>
      <c r="AN44" s="30">
        <v>2.2800000000000001E-2</v>
      </c>
      <c r="AO44" s="30">
        <v>4.7899999999999998E-2</v>
      </c>
      <c r="AP44" s="30">
        <v>4.9000000000000002E-2</v>
      </c>
      <c r="AQ44" s="30">
        <v>5.1999999999999998E-2</v>
      </c>
      <c r="AR44" s="30">
        <v>5.0999999999999997E-2</v>
      </c>
    </row>
    <row r="45" spans="3:44" x14ac:dyDescent="0.25">
      <c r="C45" s="28">
        <v>45538</v>
      </c>
      <c r="D45" s="30">
        <v>4.9000000000000002E-2</v>
      </c>
      <c r="E45" s="30">
        <v>4.99E-2</v>
      </c>
      <c r="F45" s="30">
        <v>5.0900000000000001E-2</v>
      </c>
      <c r="G45" s="30">
        <v>5.0900000000000001E-2</v>
      </c>
      <c r="H45" s="30">
        <v>4.0500000000000001E-2</v>
      </c>
      <c r="I45" s="30">
        <v>4.2700000000000002E-2</v>
      </c>
      <c r="J45" s="30">
        <v>4.5900000000000003E-2</v>
      </c>
      <c r="K45" s="30">
        <v>5.0900000000000001E-2</v>
      </c>
      <c r="L45" s="30">
        <v>5.2699999999999997E-2</v>
      </c>
      <c r="M45" s="30">
        <v>5.1799999999999999E-2</v>
      </c>
      <c r="N45" s="30">
        <v>3.6400000000000002E-2</v>
      </c>
      <c r="O45" s="30">
        <v>3.4299999999999997E-2</v>
      </c>
      <c r="P45" s="30">
        <v>2.3900000000000001E-2</v>
      </c>
      <c r="Q45" s="30">
        <v>2.9899999999999999E-2</v>
      </c>
      <c r="R45" s="30">
        <v>3.0300000000000001E-2</v>
      </c>
      <c r="S45" s="30">
        <v>3.0300000000000001E-2</v>
      </c>
      <c r="T45" s="30">
        <v>3.44E-2</v>
      </c>
      <c r="U45" s="30">
        <v>3.0300000000000001E-2</v>
      </c>
      <c r="V45" s="30">
        <v>3.15E-2</v>
      </c>
      <c r="W45" s="30">
        <v>3.5499999999999997E-2</v>
      </c>
      <c r="X45" s="30">
        <v>3.44E-2</v>
      </c>
      <c r="Y45" s="30">
        <v>3.44E-2</v>
      </c>
      <c r="Z45" s="30">
        <v>3.44E-2</v>
      </c>
      <c r="AA45" s="30">
        <v>5.8099999999999999E-2</v>
      </c>
      <c r="AB45" s="30">
        <v>5.8099999999999999E-2</v>
      </c>
      <c r="AC45" s="30">
        <v>5.8099999999999999E-2</v>
      </c>
      <c r="AD45" s="30">
        <v>5.8099999999999999E-2</v>
      </c>
      <c r="AE45" s="30">
        <v>5.8099999999999999E-2</v>
      </c>
      <c r="AF45" s="30">
        <v>5.8099999999999999E-2</v>
      </c>
      <c r="AG45" s="30">
        <v>5.4899999999999997E-2</v>
      </c>
      <c r="AH45" s="30">
        <v>4.3900000000000002E-2</v>
      </c>
      <c r="AI45" s="30">
        <v>4.1700000000000001E-2</v>
      </c>
      <c r="AJ45" s="30">
        <v>4.7500000000000001E-2</v>
      </c>
      <c r="AK45" s="30">
        <v>5.5199999999999999E-2</v>
      </c>
      <c r="AL45" s="30">
        <v>2.29E-2</v>
      </c>
      <c r="AM45" s="30">
        <v>2.29E-2</v>
      </c>
      <c r="AN45" s="30">
        <v>2.29E-2</v>
      </c>
      <c r="AO45" s="30">
        <v>4.7100000000000003E-2</v>
      </c>
      <c r="AP45" s="30">
        <v>4.82E-2</v>
      </c>
      <c r="AQ45" s="30">
        <v>5.11E-2</v>
      </c>
      <c r="AR45" s="30">
        <v>5.0200000000000002E-2</v>
      </c>
    </row>
    <row r="46" spans="3:44" x14ac:dyDescent="0.25">
      <c r="C46" s="28">
        <v>45566</v>
      </c>
      <c r="D46" s="30">
        <v>5.0900000000000001E-2</v>
      </c>
      <c r="E46" s="30">
        <v>5.0900000000000001E-2</v>
      </c>
      <c r="F46" s="30">
        <v>5.1799999999999999E-2</v>
      </c>
      <c r="G46" s="30">
        <v>5.1799999999999999E-2</v>
      </c>
      <c r="H46" s="30">
        <v>4.1099999999999998E-2</v>
      </c>
      <c r="I46" s="30">
        <v>4.3400000000000001E-2</v>
      </c>
      <c r="J46" s="30">
        <v>4.6699999999999998E-2</v>
      </c>
      <c r="K46" s="30">
        <v>5.1799999999999999E-2</v>
      </c>
      <c r="L46" s="30">
        <v>5.28E-2</v>
      </c>
      <c r="M46" s="30">
        <v>5.28E-2</v>
      </c>
      <c r="N46" s="30">
        <v>3.7100000000000001E-2</v>
      </c>
      <c r="O46" s="30">
        <v>3.5000000000000003E-2</v>
      </c>
      <c r="P46" s="30">
        <v>2.4299999999999999E-2</v>
      </c>
      <c r="Q46" s="30">
        <v>3.04E-2</v>
      </c>
      <c r="R46" s="30">
        <v>2.98E-2</v>
      </c>
      <c r="S46" s="30">
        <v>2.98E-2</v>
      </c>
      <c r="T46" s="30">
        <v>3.4000000000000002E-2</v>
      </c>
      <c r="U46" s="30">
        <v>2.98E-2</v>
      </c>
      <c r="V46" s="30">
        <v>3.1E-2</v>
      </c>
      <c r="W46" s="30">
        <v>3.5200000000000002E-2</v>
      </c>
      <c r="X46" s="30">
        <v>3.4000000000000002E-2</v>
      </c>
      <c r="Y46" s="30">
        <v>3.4000000000000002E-2</v>
      </c>
      <c r="Z46" s="30">
        <v>3.4000000000000002E-2</v>
      </c>
      <c r="AA46" s="30">
        <v>5.9299999999999999E-2</v>
      </c>
      <c r="AB46" s="30">
        <v>5.9299999999999999E-2</v>
      </c>
      <c r="AC46" s="30">
        <v>5.9299999999999999E-2</v>
      </c>
      <c r="AD46" s="30">
        <v>5.9299999999999999E-2</v>
      </c>
      <c r="AE46" s="30">
        <v>5.9299999999999999E-2</v>
      </c>
      <c r="AF46" s="30">
        <v>5.9299999999999999E-2</v>
      </c>
      <c r="AG46" s="30">
        <v>5.33E-2</v>
      </c>
      <c r="AH46" s="30">
        <v>4.2700000000000002E-2</v>
      </c>
      <c r="AI46" s="30">
        <v>4.0500000000000001E-2</v>
      </c>
      <c r="AJ46" s="30">
        <v>4.6199999999999998E-2</v>
      </c>
      <c r="AK46" s="30">
        <v>5.1799999999999999E-2</v>
      </c>
      <c r="AL46" s="30">
        <v>2.2800000000000001E-2</v>
      </c>
      <c r="AM46" s="30">
        <v>2.2800000000000001E-2</v>
      </c>
      <c r="AN46" s="30">
        <v>2.2800000000000001E-2</v>
      </c>
      <c r="AO46" s="30">
        <v>4.7399999999999998E-2</v>
      </c>
      <c r="AP46" s="30">
        <v>4.8500000000000001E-2</v>
      </c>
      <c r="AQ46" s="30">
        <v>5.1499999999999997E-2</v>
      </c>
      <c r="AR46" s="30">
        <v>5.0500000000000003E-2</v>
      </c>
    </row>
    <row r="47" spans="3:44" x14ac:dyDescent="0.25">
      <c r="C47" s="28">
        <v>45597</v>
      </c>
      <c r="D47" s="30">
        <v>4.9799999999999997E-2</v>
      </c>
      <c r="E47" s="30">
        <v>5.0799999999999998E-2</v>
      </c>
      <c r="F47" s="30">
        <v>5.1799999999999999E-2</v>
      </c>
      <c r="G47" s="30">
        <v>5.1799999999999999E-2</v>
      </c>
      <c r="H47" s="30">
        <v>4.1099999999999998E-2</v>
      </c>
      <c r="I47" s="30">
        <v>4.3400000000000001E-2</v>
      </c>
      <c r="J47" s="30">
        <v>4.6699999999999998E-2</v>
      </c>
      <c r="K47" s="30">
        <v>5.1799999999999999E-2</v>
      </c>
      <c r="L47" s="30">
        <v>5.3699999999999998E-2</v>
      </c>
      <c r="M47" s="30">
        <v>5.28E-2</v>
      </c>
      <c r="N47" s="30">
        <v>3.7100000000000001E-2</v>
      </c>
      <c r="O47" s="30">
        <v>2.5499999999999998E-2</v>
      </c>
      <c r="P47" s="30">
        <v>2.4199999999999999E-2</v>
      </c>
      <c r="Q47" s="30">
        <v>3.0300000000000001E-2</v>
      </c>
      <c r="R47" s="30">
        <v>0.03</v>
      </c>
      <c r="S47" s="30">
        <v>0.03</v>
      </c>
      <c r="T47" s="30">
        <v>3.4299999999999997E-2</v>
      </c>
      <c r="U47" s="30">
        <v>0.03</v>
      </c>
      <c r="V47" s="30">
        <v>3.1199999999999999E-2</v>
      </c>
      <c r="W47" s="30">
        <v>3.5400000000000001E-2</v>
      </c>
      <c r="X47" s="30">
        <v>3.4299999999999997E-2</v>
      </c>
      <c r="Y47" s="30">
        <v>3.4299999999999997E-2</v>
      </c>
      <c r="Z47" s="30">
        <v>3.4299999999999997E-2</v>
      </c>
      <c r="AA47" s="30">
        <v>5.9400000000000001E-2</v>
      </c>
      <c r="AB47" s="30">
        <v>5.9400000000000001E-2</v>
      </c>
      <c r="AC47" s="30">
        <v>5.9400000000000001E-2</v>
      </c>
      <c r="AD47" s="30">
        <v>5.9400000000000001E-2</v>
      </c>
      <c r="AE47" s="30">
        <v>5.9400000000000001E-2</v>
      </c>
      <c r="AF47" s="30">
        <v>5.9400000000000001E-2</v>
      </c>
      <c r="AG47" s="30">
        <v>5.21E-2</v>
      </c>
      <c r="AH47" s="30">
        <v>4.1700000000000001E-2</v>
      </c>
      <c r="AI47" s="30">
        <v>3.9600000000000003E-2</v>
      </c>
      <c r="AJ47" s="30">
        <v>4.5199999999999997E-2</v>
      </c>
      <c r="AK47" s="30">
        <v>2.3099999999999999E-2</v>
      </c>
      <c r="AL47" s="30">
        <v>2.3099999999999999E-2</v>
      </c>
      <c r="AM47" s="30">
        <v>2.3099999999999999E-2</v>
      </c>
      <c r="AN47" s="30">
        <v>2.3099999999999999E-2</v>
      </c>
      <c r="AO47" s="30">
        <v>4.6800000000000001E-2</v>
      </c>
      <c r="AP47" s="30">
        <v>4.7800000000000002E-2</v>
      </c>
      <c r="AQ47" s="30">
        <v>5.0900000000000001E-2</v>
      </c>
      <c r="AR47" s="30">
        <v>5.0900000000000001E-2</v>
      </c>
    </row>
    <row r="51" spans="3:45" x14ac:dyDescent="0.25">
      <c r="C51" s="12"/>
      <c r="D51" s="31" t="s">
        <v>75</v>
      </c>
    </row>
    <row r="53" spans="3:45" x14ac:dyDescent="0.25">
      <c r="C53" t="s">
        <v>70</v>
      </c>
      <c r="D53" t="s">
        <v>69</v>
      </c>
    </row>
    <row r="54" spans="3:45" x14ac:dyDescent="0.25">
      <c r="C54" s="40"/>
      <c r="D54" s="34" t="s">
        <v>13</v>
      </c>
      <c r="E54" s="35"/>
      <c r="F54" s="35"/>
      <c r="G54" s="35"/>
      <c r="H54" s="35"/>
      <c r="I54" s="35"/>
      <c r="J54" s="35"/>
      <c r="K54" s="35"/>
      <c r="L54" s="35"/>
      <c r="M54" s="35"/>
      <c r="N54" s="35" t="s">
        <v>16</v>
      </c>
      <c r="O54" s="35"/>
      <c r="P54" s="35"/>
      <c r="Q54" s="35"/>
      <c r="R54" s="35" t="s">
        <v>17</v>
      </c>
      <c r="S54" s="35"/>
      <c r="T54" s="35"/>
      <c r="U54" s="35"/>
      <c r="V54" s="35"/>
      <c r="W54" s="35"/>
      <c r="X54" s="35"/>
      <c r="Y54" s="35"/>
      <c r="Z54" s="35"/>
      <c r="AA54" s="35" t="s">
        <v>21</v>
      </c>
      <c r="AB54" s="35"/>
      <c r="AC54" s="35"/>
      <c r="AD54" s="35" t="s">
        <v>22</v>
      </c>
      <c r="AE54" s="35"/>
      <c r="AF54" s="35"/>
      <c r="AG54" s="35" t="s">
        <v>18</v>
      </c>
      <c r="AH54" s="35"/>
      <c r="AI54" s="35"/>
      <c r="AJ54" s="35"/>
      <c r="AK54" s="35" t="s">
        <v>24</v>
      </c>
      <c r="AL54" s="35"/>
      <c r="AM54" s="35"/>
      <c r="AN54" s="35"/>
      <c r="AO54" s="35" t="s">
        <v>25</v>
      </c>
      <c r="AP54" s="35"/>
      <c r="AQ54" s="35"/>
      <c r="AR54" s="36"/>
      <c r="AS54" t="s">
        <v>68</v>
      </c>
    </row>
    <row r="55" spans="3:45" x14ac:dyDescent="0.25">
      <c r="C55" s="41" t="s">
        <v>67</v>
      </c>
      <c r="D55" s="37" t="s">
        <v>27</v>
      </c>
      <c r="E55" s="38" t="s">
        <v>30</v>
      </c>
      <c r="F55" s="38" t="s">
        <v>12</v>
      </c>
      <c r="G55" s="38" t="s">
        <v>15</v>
      </c>
      <c r="H55" s="38" t="s">
        <v>19</v>
      </c>
      <c r="I55" s="38" t="s">
        <v>29</v>
      </c>
      <c r="J55" s="38" t="s">
        <v>28</v>
      </c>
      <c r="K55" s="38" t="s">
        <v>20</v>
      </c>
      <c r="L55" s="38" t="s">
        <v>23</v>
      </c>
      <c r="M55" s="38" t="s">
        <v>26</v>
      </c>
      <c r="N55" s="38" t="s">
        <v>15</v>
      </c>
      <c r="O55" s="38" t="s">
        <v>19</v>
      </c>
      <c r="P55" s="38" t="s">
        <v>29</v>
      </c>
      <c r="Q55" s="38" t="s">
        <v>28</v>
      </c>
      <c r="R55" s="38" t="s">
        <v>27</v>
      </c>
      <c r="S55" s="38" t="s">
        <v>30</v>
      </c>
      <c r="T55" s="38" t="s">
        <v>15</v>
      </c>
      <c r="U55" s="38" t="s">
        <v>19</v>
      </c>
      <c r="V55" s="38" t="s">
        <v>29</v>
      </c>
      <c r="W55" s="38" t="s">
        <v>28</v>
      </c>
      <c r="X55" s="38" t="s">
        <v>20</v>
      </c>
      <c r="Y55" s="38" t="s">
        <v>23</v>
      </c>
      <c r="Z55" s="38" t="s">
        <v>26</v>
      </c>
      <c r="AA55" s="38" t="s">
        <v>20</v>
      </c>
      <c r="AB55" s="38" t="s">
        <v>23</v>
      </c>
      <c r="AC55" s="38" t="s">
        <v>26</v>
      </c>
      <c r="AD55" s="38" t="s">
        <v>20</v>
      </c>
      <c r="AE55" s="38" t="s">
        <v>23</v>
      </c>
      <c r="AF55" s="38" t="s">
        <v>26</v>
      </c>
      <c r="AG55" s="38" t="s">
        <v>15</v>
      </c>
      <c r="AH55" s="38" t="s">
        <v>19</v>
      </c>
      <c r="AI55" s="38" t="s">
        <v>29</v>
      </c>
      <c r="AJ55" s="38" t="s">
        <v>28</v>
      </c>
      <c r="AK55" s="38" t="s">
        <v>27</v>
      </c>
      <c r="AL55" s="38" t="s">
        <v>30</v>
      </c>
      <c r="AM55" s="38" t="s">
        <v>23</v>
      </c>
      <c r="AN55" s="38" t="s">
        <v>26</v>
      </c>
      <c r="AO55" s="38" t="s">
        <v>27</v>
      </c>
      <c r="AP55" s="38" t="s">
        <v>30</v>
      </c>
      <c r="AQ55" s="38" t="s">
        <v>23</v>
      </c>
      <c r="AR55" s="39" t="s">
        <v>26</v>
      </c>
    </row>
    <row r="56" spans="3:45" x14ac:dyDescent="0.25">
      <c r="C56" s="28">
        <v>45201</v>
      </c>
      <c r="D56" s="30">
        <f t="shared" ref="D56:S68" si="0">D10-D34</f>
        <v>-1.9999999999999879E-4</v>
      </c>
      <c r="E56" s="30">
        <f t="shared" si="0"/>
        <v>0</v>
      </c>
      <c r="F56" s="30">
        <f t="shared" si="0"/>
        <v>-2.9999999999999472E-4</v>
      </c>
      <c r="G56" s="30">
        <f t="shared" si="0"/>
        <v>-2.9999999999999472E-4</v>
      </c>
      <c r="H56" s="30">
        <f t="shared" si="0"/>
        <v>0</v>
      </c>
      <c r="I56" s="30">
        <f t="shared" si="0"/>
        <v>-9.9999999999995925E-5</v>
      </c>
      <c r="J56" s="30">
        <f t="shared" si="0"/>
        <v>-9.9999999999995925E-5</v>
      </c>
      <c r="K56" s="30">
        <f t="shared" si="0"/>
        <v>-2.9999999999999472E-4</v>
      </c>
      <c r="L56" s="30">
        <f t="shared" si="0"/>
        <v>-4.0000000000000452E-4</v>
      </c>
      <c r="M56" s="30">
        <f t="shared" si="0"/>
        <v>-3.9999999999999758E-4</v>
      </c>
      <c r="N56" s="30">
        <f t="shared" si="0"/>
        <v>-1.9999999999999879E-4</v>
      </c>
      <c r="O56" s="30">
        <f t="shared" si="0"/>
        <v>-9.9999999999999395E-5</v>
      </c>
      <c r="P56" s="30">
        <f t="shared" si="0"/>
        <v>0</v>
      </c>
      <c r="Q56" s="30">
        <f t="shared" si="0"/>
        <v>-1.0000000000000286E-4</v>
      </c>
      <c r="R56" s="30">
        <f t="shared" si="0"/>
        <v>-4.0999999999999995E-3</v>
      </c>
      <c r="S56" s="30">
        <f t="shared" si="0"/>
        <v>0</v>
      </c>
      <c r="T56" s="30">
        <f t="shared" ref="E56:AR62" si="1">T10-T34</f>
        <v>-4.2000000000000023E-3</v>
      </c>
      <c r="U56" s="30">
        <f t="shared" si="1"/>
        <v>4.4000000000000011E-3</v>
      </c>
      <c r="V56" s="30">
        <f t="shared" si="1"/>
        <v>-4.0999999999999995E-3</v>
      </c>
      <c r="W56" s="30">
        <f t="shared" si="1"/>
        <v>-4.2000000000000023E-3</v>
      </c>
      <c r="X56" s="30">
        <f t="shared" si="1"/>
        <v>-4.2000000000000023E-3</v>
      </c>
      <c r="Y56" s="30">
        <f t="shared" si="1"/>
        <v>-4.2000000000000023E-3</v>
      </c>
      <c r="Z56" s="30">
        <f t="shared" si="1"/>
        <v>-4.2000000000000023E-3</v>
      </c>
      <c r="AA56" s="30">
        <f t="shared" si="1"/>
        <v>-7.9999999999999516E-4</v>
      </c>
      <c r="AB56" s="30">
        <f t="shared" si="1"/>
        <v>-7.9999999999999516E-4</v>
      </c>
      <c r="AC56" s="30">
        <f t="shared" si="1"/>
        <v>-7.9999999999999516E-4</v>
      </c>
      <c r="AD56" s="30">
        <f t="shared" si="1"/>
        <v>-7.9999999999999516E-4</v>
      </c>
      <c r="AE56" s="30">
        <f t="shared" si="1"/>
        <v>-7.9999999999999516E-4</v>
      </c>
      <c r="AF56" s="30">
        <f t="shared" si="1"/>
        <v>-7.9999999999999516E-4</v>
      </c>
      <c r="AG56" s="30">
        <f t="shared" si="1"/>
        <v>1.0000000000000009E-3</v>
      </c>
      <c r="AH56" s="30">
        <f t="shared" si="1"/>
        <v>7.9999999999999516E-4</v>
      </c>
      <c r="AI56" s="30">
        <f t="shared" si="1"/>
        <v>6.9999999999999923E-4</v>
      </c>
      <c r="AJ56" s="30">
        <f t="shared" si="1"/>
        <v>8.9999999999999802E-4</v>
      </c>
      <c r="AK56" s="30">
        <f t="shared" si="1"/>
        <v>9.9999999999999395E-5</v>
      </c>
      <c r="AL56" s="30">
        <f t="shared" si="1"/>
        <v>0</v>
      </c>
      <c r="AM56" s="30">
        <f t="shared" si="1"/>
        <v>9.9999999999999395E-5</v>
      </c>
      <c r="AN56" s="30">
        <f t="shared" si="1"/>
        <v>9.9999999999999395E-5</v>
      </c>
      <c r="AO56" s="30">
        <f t="shared" si="1"/>
        <v>-1.9999999999999879E-4</v>
      </c>
      <c r="AP56" s="30">
        <f t="shared" si="1"/>
        <v>0</v>
      </c>
      <c r="AQ56" s="30">
        <f t="shared" si="1"/>
        <v>-3.0000000000000165E-4</v>
      </c>
      <c r="AR56" s="30">
        <f t="shared" si="1"/>
        <v>-3.0000000000000165E-4</v>
      </c>
      <c r="AS56" s="30"/>
    </row>
    <row r="57" spans="3:45" x14ac:dyDescent="0.25">
      <c r="C57" s="28">
        <v>45231</v>
      </c>
      <c r="D57" s="30">
        <f t="shared" si="0"/>
        <v>-1.9999999999999879E-4</v>
      </c>
      <c r="E57" s="30">
        <f t="shared" si="1"/>
        <v>0</v>
      </c>
      <c r="F57" s="30">
        <f t="shared" si="1"/>
        <v>-1.9999999999999879E-4</v>
      </c>
      <c r="G57" s="30">
        <f t="shared" si="1"/>
        <v>-1.9999999999999879E-4</v>
      </c>
      <c r="H57" s="30">
        <f t="shared" si="1"/>
        <v>-4.0000000000000452E-4</v>
      </c>
      <c r="I57" s="30">
        <f t="shared" si="1"/>
        <v>-3.0000000000000165E-4</v>
      </c>
      <c r="J57" s="30">
        <f t="shared" si="1"/>
        <v>-3.0000000000000165E-4</v>
      </c>
      <c r="K57" s="30">
        <f t="shared" si="1"/>
        <v>-1.9999999999999879E-4</v>
      </c>
      <c r="L57" s="30">
        <f t="shared" si="1"/>
        <v>0</v>
      </c>
      <c r="M57" s="30">
        <f t="shared" si="1"/>
        <v>-1.0000000000000286E-4</v>
      </c>
      <c r="N57" s="30">
        <f t="shared" si="1"/>
        <v>-1.9999999999999879E-4</v>
      </c>
      <c r="O57" s="30">
        <f t="shared" si="1"/>
        <v>-1.9999999999999879E-4</v>
      </c>
      <c r="P57" s="30">
        <f t="shared" si="1"/>
        <v>-3.0000000000000165E-4</v>
      </c>
      <c r="Q57" s="30">
        <f t="shared" si="1"/>
        <v>-1.9999999999999879E-4</v>
      </c>
      <c r="R57" s="30">
        <f t="shared" si="1"/>
        <v>5.3999999999999951E-3</v>
      </c>
      <c r="S57" s="30">
        <f t="shared" si="1"/>
        <v>0</v>
      </c>
      <c r="T57" s="30">
        <f t="shared" si="1"/>
        <v>5.400000000000002E-3</v>
      </c>
      <c r="U57" s="30">
        <f t="shared" si="1"/>
        <v>5.3999999999999951E-3</v>
      </c>
      <c r="V57" s="30">
        <f t="shared" si="1"/>
        <v>5.3999999999999951E-3</v>
      </c>
      <c r="W57" s="30">
        <f t="shared" si="1"/>
        <v>5.5000000000000049E-3</v>
      </c>
      <c r="X57" s="30">
        <f t="shared" si="1"/>
        <v>5.400000000000002E-3</v>
      </c>
      <c r="Y57" s="30">
        <f t="shared" si="1"/>
        <v>5.400000000000002E-3</v>
      </c>
      <c r="Z57" s="30">
        <f t="shared" si="1"/>
        <v>5.400000000000002E-3</v>
      </c>
      <c r="AA57" s="30">
        <f t="shared" si="1"/>
        <v>3.9999999999999758E-4</v>
      </c>
      <c r="AB57" s="30">
        <f t="shared" si="1"/>
        <v>3.9999999999999758E-4</v>
      </c>
      <c r="AC57" s="30">
        <f t="shared" si="1"/>
        <v>3.9999999999999758E-4</v>
      </c>
      <c r="AD57" s="30">
        <f t="shared" si="1"/>
        <v>3.9999999999999758E-4</v>
      </c>
      <c r="AE57" s="30">
        <f t="shared" si="1"/>
        <v>3.9999999999999758E-4</v>
      </c>
      <c r="AF57" s="30">
        <f t="shared" si="1"/>
        <v>3.9999999999999758E-4</v>
      </c>
      <c r="AG57" s="30">
        <f t="shared" si="1"/>
        <v>-1.1999999999999997E-3</v>
      </c>
      <c r="AH57" s="30">
        <f t="shared" si="1"/>
        <v>-1.0000000000000009E-3</v>
      </c>
      <c r="AI57" s="30">
        <f t="shared" si="1"/>
        <v>-8.9999999999999802E-4</v>
      </c>
      <c r="AJ57" s="30">
        <f t="shared" si="1"/>
        <v>-9.9999999999999395E-4</v>
      </c>
      <c r="AK57" s="30">
        <f t="shared" si="1"/>
        <v>-9.9999999999999395E-5</v>
      </c>
      <c r="AL57" s="30">
        <f t="shared" si="1"/>
        <v>0</v>
      </c>
      <c r="AM57" s="30">
        <f t="shared" si="1"/>
        <v>-9.9999999999999395E-5</v>
      </c>
      <c r="AN57" s="30">
        <f t="shared" si="1"/>
        <v>-9.9999999999999395E-5</v>
      </c>
      <c r="AO57" s="30">
        <f t="shared" si="1"/>
        <v>9.9999999999995925E-5</v>
      </c>
      <c r="AP57" s="30">
        <f t="shared" si="1"/>
        <v>0</v>
      </c>
      <c r="AQ57" s="30">
        <f t="shared" si="1"/>
        <v>3.0000000000000165E-4</v>
      </c>
      <c r="AR57" s="30">
        <f t="shared" si="1"/>
        <v>1.9999999999999879E-4</v>
      </c>
      <c r="AS57" s="30"/>
    </row>
    <row r="58" spans="3:45" x14ac:dyDescent="0.25">
      <c r="C58" s="28">
        <v>45261</v>
      </c>
      <c r="D58" s="30">
        <f t="shared" si="0"/>
        <v>-5.0000000000000044E-4</v>
      </c>
      <c r="E58" s="30">
        <f t="shared" si="1"/>
        <v>0</v>
      </c>
      <c r="F58" s="30">
        <f t="shared" si="1"/>
        <v>-6.0000000000000331E-4</v>
      </c>
      <c r="G58" s="30">
        <f t="shared" si="1"/>
        <v>-6.0000000000000331E-4</v>
      </c>
      <c r="H58" s="30">
        <f t="shared" si="1"/>
        <v>-3.0000000000000165E-4</v>
      </c>
      <c r="I58" s="30">
        <f t="shared" si="1"/>
        <v>-3.0000000000000165E-4</v>
      </c>
      <c r="J58" s="30">
        <f t="shared" si="1"/>
        <v>-3.9999999999999758E-4</v>
      </c>
      <c r="K58" s="30">
        <f t="shared" si="1"/>
        <v>-6.0000000000000331E-4</v>
      </c>
      <c r="L58" s="30">
        <f t="shared" si="1"/>
        <v>-6.9999999999999923E-4</v>
      </c>
      <c r="M58" s="30">
        <f t="shared" si="1"/>
        <v>-6.0000000000000331E-4</v>
      </c>
      <c r="N58" s="30">
        <f t="shared" si="1"/>
        <v>-4.0000000000000452E-4</v>
      </c>
      <c r="O58" s="30">
        <f t="shared" si="1"/>
        <v>-2.0000000000000226E-4</v>
      </c>
      <c r="P58" s="30">
        <f t="shared" si="1"/>
        <v>-9.9999999999999395E-5</v>
      </c>
      <c r="Q58" s="30">
        <f t="shared" si="1"/>
        <v>-3.0000000000000165E-4</v>
      </c>
      <c r="R58" s="30">
        <f t="shared" si="1"/>
        <v>-4.4000000000000011E-3</v>
      </c>
      <c r="S58" s="30">
        <f t="shared" si="1"/>
        <v>0</v>
      </c>
      <c r="T58" s="30">
        <f t="shared" si="1"/>
        <v>-4.500000000000004E-3</v>
      </c>
      <c r="U58" s="30">
        <f t="shared" si="1"/>
        <v>-4.4000000000000011E-3</v>
      </c>
      <c r="V58" s="30">
        <f t="shared" si="1"/>
        <v>-4.3999999999999942E-3</v>
      </c>
      <c r="W58" s="30">
        <f t="shared" si="1"/>
        <v>-4.6000000000000069E-3</v>
      </c>
      <c r="X58" s="30">
        <f t="shared" si="1"/>
        <v>-4.500000000000004E-3</v>
      </c>
      <c r="Y58" s="30">
        <f t="shared" si="1"/>
        <v>-4.500000000000004E-3</v>
      </c>
      <c r="Z58" s="30">
        <f t="shared" si="1"/>
        <v>-4.500000000000004E-3</v>
      </c>
      <c r="AA58" s="30">
        <f t="shared" si="1"/>
        <v>-1.0000000000000009E-3</v>
      </c>
      <c r="AB58" s="30">
        <f t="shared" si="1"/>
        <v>-1.0000000000000009E-3</v>
      </c>
      <c r="AC58" s="30">
        <f t="shared" si="1"/>
        <v>-1.0000000000000009E-3</v>
      </c>
      <c r="AD58" s="30">
        <f t="shared" si="1"/>
        <v>-1.0000000000000009E-3</v>
      </c>
      <c r="AE58" s="30">
        <f t="shared" si="1"/>
        <v>-1.0000000000000009E-3</v>
      </c>
      <c r="AF58" s="30">
        <f t="shared" si="1"/>
        <v>-1.0000000000000009E-3</v>
      </c>
      <c r="AG58" s="30">
        <f t="shared" si="1"/>
        <v>7.9999999999999516E-4</v>
      </c>
      <c r="AH58" s="30">
        <f t="shared" si="1"/>
        <v>6.0000000000000331E-4</v>
      </c>
      <c r="AI58" s="30">
        <f t="shared" si="1"/>
        <v>6.0000000000000331E-4</v>
      </c>
      <c r="AJ58" s="30">
        <f t="shared" si="1"/>
        <v>5.9999999999999637E-4</v>
      </c>
      <c r="AK58" s="30">
        <f t="shared" si="1"/>
        <v>0</v>
      </c>
      <c r="AL58" s="30">
        <f t="shared" si="1"/>
        <v>0</v>
      </c>
      <c r="AM58" s="30">
        <f t="shared" si="1"/>
        <v>0</v>
      </c>
      <c r="AN58" s="30">
        <f t="shared" si="1"/>
        <v>0</v>
      </c>
      <c r="AO58" s="30">
        <f t="shared" si="1"/>
        <v>-9.9999999999995925E-5</v>
      </c>
      <c r="AP58" s="30">
        <f t="shared" si="1"/>
        <v>0</v>
      </c>
      <c r="AQ58" s="30">
        <f t="shared" si="1"/>
        <v>-1.9999999999999879E-4</v>
      </c>
      <c r="AR58" s="30">
        <f t="shared" si="1"/>
        <v>-1.9999999999999879E-4</v>
      </c>
      <c r="AS58" s="30"/>
    </row>
    <row r="59" spans="3:45" x14ac:dyDescent="0.25">
      <c r="C59" s="28">
        <v>45293</v>
      </c>
      <c r="D59" s="30">
        <f t="shared" si="0"/>
        <v>-4.0000000000000452E-4</v>
      </c>
      <c r="E59" s="30">
        <f t="shared" si="1"/>
        <v>0</v>
      </c>
      <c r="F59" s="30">
        <f t="shared" si="1"/>
        <v>-3.9999999999999758E-4</v>
      </c>
      <c r="G59" s="30">
        <f t="shared" si="1"/>
        <v>-3.9999999999999758E-4</v>
      </c>
      <c r="H59" s="30">
        <f t="shared" si="1"/>
        <v>0</v>
      </c>
      <c r="I59" s="30">
        <f t="shared" si="1"/>
        <v>-1.9999999999999879E-4</v>
      </c>
      <c r="J59" s="30">
        <f t="shared" si="1"/>
        <v>-1.9999999999999879E-4</v>
      </c>
      <c r="K59" s="30">
        <f t="shared" si="1"/>
        <v>-3.9999999999999758E-4</v>
      </c>
      <c r="L59" s="30">
        <f t="shared" si="1"/>
        <v>-5.0000000000000044E-4</v>
      </c>
      <c r="M59" s="30">
        <f t="shared" si="1"/>
        <v>-3.9999999999999758E-4</v>
      </c>
      <c r="N59" s="30">
        <f t="shared" si="1"/>
        <v>-2.9999999999999472E-4</v>
      </c>
      <c r="O59" s="30">
        <f t="shared" si="1"/>
        <v>0</v>
      </c>
      <c r="P59" s="30">
        <f t="shared" si="1"/>
        <v>0</v>
      </c>
      <c r="Q59" s="30">
        <f t="shared" si="1"/>
        <v>-9.9999999999999395E-5</v>
      </c>
      <c r="R59" s="30">
        <f t="shared" si="1"/>
        <v>-3.599999999999999E-3</v>
      </c>
      <c r="S59" s="30">
        <f t="shared" si="1"/>
        <v>0</v>
      </c>
      <c r="T59" s="30">
        <f t="shared" si="1"/>
        <v>-3.699999999999995E-3</v>
      </c>
      <c r="U59" s="30">
        <f t="shared" si="1"/>
        <v>-3.599999999999999E-3</v>
      </c>
      <c r="V59" s="30">
        <f t="shared" si="1"/>
        <v>-3.7000000000000019E-3</v>
      </c>
      <c r="W59" s="30">
        <f t="shared" si="1"/>
        <v>-3.7999999999999978E-3</v>
      </c>
      <c r="X59" s="30">
        <f t="shared" si="1"/>
        <v>-3.699999999999995E-3</v>
      </c>
      <c r="Y59" s="30">
        <f t="shared" si="1"/>
        <v>-3.699999999999995E-3</v>
      </c>
      <c r="Z59" s="30">
        <f t="shared" si="1"/>
        <v>-3.699999999999995E-3</v>
      </c>
      <c r="AA59" s="30">
        <f t="shared" si="1"/>
        <v>-8.9999999999999802E-4</v>
      </c>
      <c r="AB59" s="30">
        <f t="shared" si="1"/>
        <v>-8.9999999999999802E-4</v>
      </c>
      <c r="AC59" s="30">
        <f t="shared" si="1"/>
        <v>-8.9999999999999802E-4</v>
      </c>
      <c r="AD59" s="30">
        <f t="shared" si="1"/>
        <v>-8.9999999999999802E-4</v>
      </c>
      <c r="AE59" s="30">
        <f t="shared" si="1"/>
        <v>-8.9999999999999802E-4</v>
      </c>
      <c r="AF59" s="30">
        <f t="shared" si="1"/>
        <v>-8.9999999999999802E-4</v>
      </c>
      <c r="AG59" s="30">
        <f t="shared" si="1"/>
        <v>3.0000000000000165E-4</v>
      </c>
      <c r="AH59" s="30">
        <f t="shared" si="1"/>
        <v>3.0000000000000165E-4</v>
      </c>
      <c r="AI59" s="30">
        <f t="shared" si="1"/>
        <v>1.9999999999999879E-4</v>
      </c>
      <c r="AJ59" s="30">
        <f t="shared" si="1"/>
        <v>3.0000000000000165E-4</v>
      </c>
      <c r="AK59" s="30">
        <f t="shared" si="1"/>
        <v>0</v>
      </c>
      <c r="AL59" s="30">
        <f t="shared" si="1"/>
        <v>0</v>
      </c>
      <c r="AM59" s="30">
        <f t="shared" si="1"/>
        <v>0</v>
      </c>
      <c r="AN59" s="30">
        <f t="shared" si="1"/>
        <v>0</v>
      </c>
      <c r="AO59" s="30">
        <f t="shared" si="1"/>
        <v>-3.0000000000000165E-4</v>
      </c>
      <c r="AP59" s="30">
        <f t="shared" si="1"/>
        <v>0</v>
      </c>
      <c r="AQ59" s="30">
        <f t="shared" si="1"/>
        <v>-4.0000000000000452E-4</v>
      </c>
      <c r="AR59" s="30">
        <f t="shared" si="1"/>
        <v>-3.0000000000000165E-4</v>
      </c>
      <c r="AS59" s="30"/>
    </row>
    <row r="60" spans="3:45" x14ac:dyDescent="0.25">
      <c r="C60" s="28">
        <v>45323</v>
      </c>
      <c r="D60" s="30">
        <f t="shared" si="0"/>
        <v>-1.0999999999999968E-3</v>
      </c>
      <c r="E60" s="30">
        <f t="shared" si="1"/>
        <v>0</v>
      </c>
      <c r="F60" s="30">
        <f t="shared" si="1"/>
        <v>-1.1999999999999997E-3</v>
      </c>
      <c r="G60" s="30">
        <f t="shared" si="1"/>
        <v>-1.1999999999999997E-3</v>
      </c>
      <c r="H60" s="30">
        <f t="shared" si="1"/>
        <v>-7.9999999999999516E-4</v>
      </c>
      <c r="I60" s="30">
        <f t="shared" si="1"/>
        <v>-8.000000000000021E-4</v>
      </c>
      <c r="J60" s="30">
        <f t="shared" si="1"/>
        <v>-1.0000000000000009E-3</v>
      </c>
      <c r="K60" s="30">
        <f t="shared" si="1"/>
        <v>-1.1999999999999997E-3</v>
      </c>
      <c r="L60" s="30">
        <f t="shared" si="1"/>
        <v>-1.2999999999999956E-3</v>
      </c>
      <c r="M60" s="30">
        <f t="shared" si="1"/>
        <v>-1.3000000000000025E-3</v>
      </c>
      <c r="N60" s="30">
        <f t="shared" si="1"/>
        <v>-9.0000000000000496E-4</v>
      </c>
      <c r="O60" s="30">
        <f t="shared" si="1"/>
        <v>-5.0000000000000044E-4</v>
      </c>
      <c r="P60" s="30">
        <f t="shared" si="1"/>
        <v>-4.0000000000000105E-4</v>
      </c>
      <c r="Q60" s="30">
        <f t="shared" si="1"/>
        <v>-5.9999999999999984E-4</v>
      </c>
      <c r="R60" s="30">
        <f t="shared" si="1"/>
        <v>-3.2999999999999974E-3</v>
      </c>
      <c r="S60" s="30">
        <f t="shared" si="1"/>
        <v>0</v>
      </c>
      <c r="T60" s="30">
        <f t="shared" si="1"/>
        <v>-3.5000000000000031E-3</v>
      </c>
      <c r="U60" s="30">
        <f t="shared" si="1"/>
        <v>-3.2999999999999974E-3</v>
      </c>
      <c r="V60" s="30">
        <f t="shared" si="1"/>
        <v>-3.4000000000000002E-3</v>
      </c>
      <c r="W60" s="30">
        <f t="shared" si="1"/>
        <v>-3.4999999999999962E-3</v>
      </c>
      <c r="X60" s="30">
        <f t="shared" si="1"/>
        <v>-3.5000000000000031E-3</v>
      </c>
      <c r="Y60" s="30">
        <f t="shared" si="1"/>
        <v>-3.5000000000000031E-3</v>
      </c>
      <c r="Z60" s="30">
        <f t="shared" si="1"/>
        <v>-3.5000000000000031E-3</v>
      </c>
      <c r="AA60" s="30">
        <f t="shared" si="1"/>
        <v>-1.800000000000003E-3</v>
      </c>
      <c r="AB60" s="30">
        <f t="shared" si="1"/>
        <v>-1.800000000000003E-3</v>
      </c>
      <c r="AC60" s="30">
        <f t="shared" si="1"/>
        <v>-1.800000000000003E-3</v>
      </c>
      <c r="AD60" s="30">
        <f t="shared" si="1"/>
        <v>-1.800000000000003E-3</v>
      </c>
      <c r="AE60" s="30">
        <f t="shared" si="1"/>
        <v>-1.800000000000003E-3</v>
      </c>
      <c r="AF60" s="30">
        <f t="shared" si="1"/>
        <v>-1.800000000000003E-3</v>
      </c>
      <c r="AG60" s="30">
        <f t="shared" si="1"/>
        <v>-3.0000000000000165E-4</v>
      </c>
      <c r="AH60" s="30">
        <f t="shared" si="1"/>
        <v>-3.0000000000000165E-4</v>
      </c>
      <c r="AI60" s="30">
        <f t="shared" si="1"/>
        <v>-1.9999999999999879E-4</v>
      </c>
      <c r="AJ60" s="30">
        <f t="shared" si="1"/>
        <v>-3.0000000000000165E-4</v>
      </c>
      <c r="AK60" s="30">
        <f t="shared" si="1"/>
        <v>1.9999999999999879E-4</v>
      </c>
      <c r="AL60" s="30">
        <f t="shared" si="1"/>
        <v>0</v>
      </c>
      <c r="AM60" s="30">
        <f t="shared" si="1"/>
        <v>1.9999999999999879E-4</v>
      </c>
      <c r="AN60" s="30">
        <f t="shared" si="1"/>
        <v>1.9999999999999879E-4</v>
      </c>
      <c r="AO60" s="30">
        <f t="shared" si="1"/>
        <v>-3.9999999999999758E-4</v>
      </c>
      <c r="AP60" s="30">
        <f t="shared" si="1"/>
        <v>0</v>
      </c>
      <c r="AQ60" s="30">
        <f t="shared" si="1"/>
        <v>-5.0000000000000044E-4</v>
      </c>
      <c r="AR60" s="30">
        <f t="shared" si="1"/>
        <v>-5.0000000000000044E-4</v>
      </c>
      <c r="AS60" s="30"/>
    </row>
    <row r="61" spans="3:45" x14ac:dyDescent="0.25">
      <c r="C61" s="28">
        <v>45352</v>
      </c>
      <c r="D61" s="30">
        <f t="shared" si="0"/>
        <v>5.0000000000000044E-4</v>
      </c>
      <c r="E61" s="30">
        <f t="shared" si="1"/>
        <v>0</v>
      </c>
      <c r="F61" s="30">
        <f t="shared" si="1"/>
        <v>5.0000000000000044E-4</v>
      </c>
      <c r="G61" s="30">
        <f t="shared" si="1"/>
        <v>5.0000000000000044E-4</v>
      </c>
      <c r="H61" s="30">
        <f t="shared" si="1"/>
        <v>3.0000000000000165E-4</v>
      </c>
      <c r="I61" s="30">
        <f t="shared" si="1"/>
        <v>3.0000000000000165E-4</v>
      </c>
      <c r="J61" s="30">
        <f t="shared" si="1"/>
        <v>3.9999999999999758E-4</v>
      </c>
      <c r="K61" s="30">
        <f t="shared" si="1"/>
        <v>5.0000000000000044E-4</v>
      </c>
      <c r="L61" s="30">
        <f t="shared" si="1"/>
        <v>5.0000000000000044E-4</v>
      </c>
      <c r="M61" s="30">
        <f t="shared" si="1"/>
        <v>5.0000000000000044E-4</v>
      </c>
      <c r="N61" s="30">
        <f t="shared" si="1"/>
        <v>4.0000000000000452E-4</v>
      </c>
      <c r="O61" s="30">
        <f t="shared" si="1"/>
        <v>2.0000000000000226E-4</v>
      </c>
      <c r="P61" s="30">
        <f t="shared" si="1"/>
        <v>2.0000000000000226E-4</v>
      </c>
      <c r="Q61" s="30">
        <f t="shared" si="1"/>
        <v>1.9999999999999879E-4</v>
      </c>
      <c r="R61" s="30">
        <f t="shared" si="1"/>
        <v>3.0000000000000027E-3</v>
      </c>
      <c r="S61" s="30">
        <f t="shared" si="1"/>
        <v>0</v>
      </c>
      <c r="T61" s="30">
        <f t="shared" si="1"/>
        <v>3.0000000000000027E-3</v>
      </c>
      <c r="U61" s="30">
        <f t="shared" si="1"/>
        <v>3.0000000000000027E-3</v>
      </c>
      <c r="V61" s="30">
        <f t="shared" si="1"/>
        <v>3.0999999999999986E-3</v>
      </c>
      <c r="W61" s="30">
        <f t="shared" si="1"/>
        <v>3.0999999999999986E-3</v>
      </c>
      <c r="X61" s="30">
        <f t="shared" si="1"/>
        <v>3.0000000000000027E-3</v>
      </c>
      <c r="Y61" s="30">
        <f t="shared" si="1"/>
        <v>3.0000000000000027E-3</v>
      </c>
      <c r="Z61" s="30">
        <f t="shared" si="1"/>
        <v>3.0000000000000027E-3</v>
      </c>
      <c r="AA61" s="30">
        <f t="shared" si="1"/>
        <v>6.9999999999999923E-4</v>
      </c>
      <c r="AB61" s="30">
        <f t="shared" si="1"/>
        <v>6.9999999999999923E-4</v>
      </c>
      <c r="AC61" s="30">
        <f t="shared" si="1"/>
        <v>6.9999999999999923E-4</v>
      </c>
      <c r="AD61" s="30">
        <f t="shared" si="1"/>
        <v>6.9999999999999923E-4</v>
      </c>
      <c r="AE61" s="30">
        <f t="shared" si="1"/>
        <v>6.9999999999999923E-4</v>
      </c>
      <c r="AF61" s="30">
        <f t="shared" si="1"/>
        <v>6.9999999999999923E-4</v>
      </c>
      <c r="AG61" s="30">
        <f t="shared" si="1"/>
        <v>6.9999999999999923E-4</v>
      </c>
      <c r="AH61" s="30">
        <f t="shared" si="1"/>
        <v>5.9999999999999637E-4</v>
      </c>
      <c r="AI61" s="30">
        <f t="shared" si="1"/>
        <v>5.0000000000000044E-4</v>
      </c>
      <c r="AJ61" s="30">
        <f t="shared" si="1"/>
        <v>6.0000000000000331E-4</v>
      </c>
      <c r="AK61" s="30">
        <f t="shared" si="1"/>
        <v>3.0000000000000165E-4</v>
      </c>
      <c r="AL61" s="30">
        <f t="shared" si="1"/>
        <v>0</v>
      </c>
      <c r="AM61" s="30">
        <f t="shared" si="1"/>
        <v>3.0000000000000165E-4</v>
      </c>
      <c r="AN61" s="30">
        <f t="shared" si="1"/>
        <v>3.0000000000000165E-4</v>
      </c>
      <c r="AO61" s="30">
        <f t="shared" si="1"/>
        <v>-3.2000000000000015E-3</v>
      </c>
      <c r="AP61" s="30">
        <f t="shared" si="1"/>
        <v>0</v>
      </c>
      <c r="AQ61" s="30">
        <f t="shared" si="1"/>
        <v>-3.4000000000000002E-3</v>
      </c>
      <c r="AR61" s="30">
        <f t="shared" si="1"/>
        <v>-3.4000000000000002E-3</v>
      </c>
      <c r="AS61" s="30"/>
    </row>
    <row r="62" spans="3:45" x14ac:dyDescent="0.25">
      <c r="C62" s="28">
        <v>45383</v>
      </c>
      <c r="D62" s="30">
        <f t="shared" si="0"/>
        <v>-9.0000000000000496E-4</v>
      </c>
      <c r="E62" s="30">
        <f t="shared" si="1"/>
        <v>0</v>
      </c>
      <c r="F62" s="30">
        <f t="shared" si="1"/>
        <v>-9.0000000000000496E-4</v>
      </c>
      <c r="G62" s="30">
        <f t="shared" si="1"/>
        <v>-9.0000000000000496E-4</v>
      </c>
      <c r="H62" s="30">
        <f t="shared" si="1"/>
        <v>-7.0000000000000617E-4</v>
      </c>
      <c r="I62" s="30">
        <f t="shared" si="1"/>
        <v>0</v>
      </c>
      <c r="J62" s="30">
        <f t="shared" si="1"/>
        <v>0</v>
      </c>
      <c r="K62" s="30">
        <f t="shared" si="1"/>
        <v>-9.0000000000000496E-4</v>
      </c>
      <c r="L62" s="30">
        <f t="shared" si="1"/>
        <v>-9.0000000000000496E-4</v>
      </c>
      <c r="M62" s="30">
        <f t="shared" si="1"/>
        <v>-8.9999999999999802E-4</v>
      </c>
      <c r="N62" s="30">
        <f t="shared" si="1"/>
        <v>-6.9999999999999923E-4</v>
      </c>
      <c r="O62" s="30">
        <f t="shared" si="1"/>
        <v>-4.0000000000000105E-4</v>
      </c>
      <c r="P62" s="30">
        <f t="shared" si="1"/>
        <v>0</v>
      </c>
      <c r="Q62" s="30">
        <f t="shared" si="1"/>
        <v>0</v>
      </c>
      <c r="R62" s="30">
        <f t="shared" si="1"/>
        <v>1.799999999999996E-3</v>
      </c>
      <c r="S62" s="30">
        <f t="shared" si="1"/>
        <v>0</v>
      </c>
      <c r="T62" s="30">
        <f t="shared" si="1"/>
        <v>1.799999999999996E-3</v>
      </c>
      <c r="U62" s="30">
        <f t="shared" si="1"/>
        <v>1.799999999999996E-3</v>
      </c>
      <c r="V62" s="30">
        <f t="shared" si="1"/>
        <v>0</v>
      </c>
      <c r="W62" s="30">
        <f t="shared" si="1"/>
        <v>0</v>
      </c>
      <c r="X62" s="30">
        <f t="shared" si="1"/>
        <v>1.799999999999996E-3</v>
      </c>
      <c r="Y62" s="30">
        <f t="shared" si="1"/>
        <v>1.799999999999996E-3</v>
      </c>
      <c r="Z62" s="30">
        <f t="shared" si="1"/>
        <v>1.799999999999996E-3</v>
      </c>
      <c r="AA62" s="30">
        <f t="shared" si="1"/>
        <v>-1.0000000000000009E-3</v>
      </c>
      <c r="AB62" s="30">
        <f t="shared" si="1"/>
        <v>-1.0000000000000009E-3</v>
      </c>
      <c r="AC62" s="30">
        <f t="shared" si="1"/>
        <v>-1.0000000000000009E-3</v>
      </c>
      <c r="AD62" s="30">
        <f t="shared" si="1"/>
        <v>-1.0000000000000009E-3</v>
      </c>
      <c r="AE62" s="30">
        <f t="shared" si="1"/>
        <v>-1.0000000000000009E-3</v>
      </c>
      <c r="AF62" s="30">
        <f t="shared" si="1"/>
        <v>-1.0000000000000009E-3</v>
      </c>
      <c r="AG62" s="30">
        <f t="shared" si="1"/>
        <v>-9.9999999999995925E-5</v>
      </c>
      <c r="AH62" s="30">
        <f t="shared" si="1"/>
        <v>0</v>
      </c>
      <c r="AI62" s="30">
        <f t="shared" ref="E62:AR68" si="2">AI16-AI40</f>
        <v>0</v>
      </c>
      <c r="AJ62" s="30">
        <f t="shared" si="2"/>
        <v>0</v>
      </c>
      <c r="AK62" s="30">
        <f t="shared" si="2"/>
        <v>0</v>
      </c>
      <c r="AL62" s="30">
        <f t="shared" si="2"/>
        <v>0</v>
      </c>
      <c r="AM62" s="30">
        <f t="shared" si="2"/>
        <v>0</v>
      </c>
      <c r="AN62" s="30">
        <f t="shared" si="2"/>
        <v>0</v>
      </c>
      <c r="AO62" s="30">
        <f t="shared" si="2"/>
        <v>2.2999999999999965E-3</v>
      </c>
      <c r="AP62" s="30">
        <f t="shared" si="2"/>
        <v>0</v>
      </c>
      <c r="AQ62" s="30">
        <f t="shared" si="2"/>
        <v>2.3999999999999994E-3</v>
      </c>
      <c r="AR62" s="30">
        <f t="shared" si="2"/>
        <v>2.3999999999999994E-3</v>
      </c>
      <c r="AS62" s="30"/>
    </row>
    <row r="63" spans="3:45" x14ac:dyDescent="0.25">
      <c r="C63" s="28">
        <v>45413</v>
      </c>
      <c r="D63" s="30">
        <f t="shared" si="0"/>
        <v>5.0000000000000044E-4</v>
      </c>
      <c r="E63" s="30">
        <f t="shared" si="2"/>
        <v>0</v>
      </c>
      <c r="F63" s="30">
        <f t="shared" si="2"/>
        <v>6.0000000000000331E-4</v>
      </c>
      <c r="G63" s="30">
        <f t="shared" si="2"/>
        <v>6.0000000000000331E-4</v>
      </c>
      <c r="H63" s="30">
        <f t="shared" si="2"/>
        <v>3.0000000000000165E-4</v>
      </c>
      <c r="I63" s="30">
        <f t="shared" si="2"/>
        <v>0</v>
      </c>
      <c r="J63" s="30">
        <f t="shared" si="2"/>
        <v>0</v>
      </c>
      <c r="K63" s="30">
        <f t="shared" si="2"/>
        <v>6.0000000000000331E-4</v>
      </c>
      <c r="L63" s="30">
        <f t="shared" si="2"/>
        <v>1.6000000000000042E-3</v>
      </c>
      <c r="M63" s="30">
        <f t="shared" si="2"/>
        <v>2.5000000000000022E-3</v>
      </c>
      <c r="N63" s="30">
        <f t="shared" si="2"/>
        <v>3.9999999999999758E-4</v>
      </c>
      <c r="O63" s="30">
        <f t="shared" si="2"/>
        <v>1.9999999999999879E-4</v>
      </c>
      <c r="P63" s="30">
        <f t="shared" si="2"/>
        <v>0</v>
      </c>
      <c r="Q63" s="30">
        <f t="shared" si="2"/>
        <v>0</v>
      </c>
      <c r="R63" s="30">
        <f t="shared" si="2"/>
        <v>3.2999999999999974E-3</v>
      </c>
      <c r="S63" s="30">
        <f t="shared" si="2"/>
        <v>0</v>
      </c>
      <c r="T63" s="30">
        <f t="shared" si="2"/>
        <v>3.4000000000000002E-3</v>
      </c>
      <c r="U63" s="30">
        <f t="shared" si="2"/>
        <v>3.2999999999999974E-3</v>
      </c>
      <c r="V63" s="30">
        <f t="shared" si="2"/>
        <v>0</v>
      </c>
      <c r="W63" s="30">
        <f t="shared" si="2"/>
        <v>0</v>
      </c>
      <c r="X63" s="30">
        <f t="shared" si="2"/>
        <v>3.4000000000000002E-3</v>
      </c>
      <c r="Y63" s="30">
        <f t="shared" si="2"/>
        <v>3.4000000000000002E-3</v>
      </c>
      <c r="Z63" s="30">
        <f t="shared" si="2"/>
        <v>3.4000000000000002E-3</v>
      </c>
      <c r="AA63" s="30">
        <f t="shared" si="2"/>
        <v>1.0000000000000009E-3</v>
      </c>
      <c r="AB63" s="30">
        <f t="shared" si="2"/>
        <v>1.0000000000000009E-3</v>
      </c>
      <c r="AC63" s="30">
        <f t="shared" si="2"/>
        <v>1.0000000000000009E-3</v>
      </c>
      <c r="AD63" s="30">
        <f t="shared" si="2"/>
        <v>1.0000000000000009E-3</v>
      </c>
      <c r="AE63" s="30">
        <f t="shared" si="2"/>
        <v>1.0000000000000009E-3</v>
      </c>
      <c r="AF63" s="30">
        <f t="shared" si="2"/>
        <v>1.0000000000000009E-3</v>
      </c>
      <c r="AG63" s="30">
        <f t="shared" si="2"/>
        <v>-3.9999999999999758E-4</v>
      </c>
      <c r="AH63" s="30">
        <f t="shared" si="2"/>
        <v>-3.9999999999999758E-4</v>
      </c>
      <c r="AI63" s="30">
        <f t="shared" si="2"/>
        <v>0</v>
      </c>
      <c r="AJ63" s="30">
        <f t="shared" si="2"/>
        <v>0</v>
      </c>
      <c r="AK63" s="30">
        <f t="shared" si="2"/>
        <v>-2.0000000000000226E-4</v>
      </c>
      <c r="AL63" s="30">
        <f t="shared" si="2"/>
        <v>0</v>
      </c>
      <c r="AM63" s="30">
        <f t="shared" si="2"/>
        <v>-2.0000000000000226E-4</v>
      </c>
      <c r="AN63" s="30">
        <f t="shared" si="2"/>
        <v>-2.0000000000000226E-4</v>
      </c>
      <c r="AO63" s="30">
        <f t="shared" si="2"/>
        <v>1.9999999999999879E-4</v>
      </c>
      <c r="AP63" s="30">
        <f t="shared" si="2"/>
        <v>0</v>
      </c>
      <c r="AQ63" s="30">
        <f t="shared" si="2"/>
        <v>1.3000000000000025E-3</v>
      </c>
      <c r="AR63" s="30">
        <f t="shared" si="2"/>
        <v>2.3000000000000034E-3</v>
      </c>
      <c r="AS63" s="30"/>
    </row>
    <row r="64" spans="3:45" x14ac:dyDescent="0.25">
      <c r="C64" s="28">
        <v>45446</v>
      </c>
      <c r="D64" s="30">
        <f t="shared" si="0"/>
        <v>-7.9999999999999516E-4</v>
      </c>
      <c r="E64" s="30">
        <f t="shared" si="2"/>
        <v>0</v>
      </c>
      <c r="F64" s="30">
        <f t="shared" si="2"/>
        <v>-9.0000000000000496E-4</v>
      </c>
      <c r="G64" s="30">
        <f t="shared" si="2"/>
        <v>-9.0000000000000496E-4</v>
      </c>
      <c r="H64" s="30">
        <f t="shared" si="2"/>
        <v>-5.0000000000000044E-4</v>
      </c>
      <c r="I64" s="30">
        <f t="shared" si="2"/>
        <v>0</v>
      </c>
      <c r="J64" s="30">
        <f t="shared" si="2"/>
        <v>0</v>
      </c>
      <c r="K64" s="30">
        <f t="shared" si="2"/>
        <v>-9.0000000000000496E-4</v>
      </c>
      <c r="L64" s="30">
        <f t="shared" si="2"/>
        <v>-2.0000000000000018E-3</v>
      </c>
      <c r="M64" s="30">
        <f t="shared" si="2"/>
        <v>-2.8999999999999998E-3</v>
      </c>
      <c r="N64" s="30">
        <f t="shared" si="2"/>
        <v>-6.0000000000000331E-4</v>
      </c>
      <c r="O64" s="30">
        <f t="shared" si="2"/>
        <v>-2.9999999999999818E-4</v>
      </c>
      <c r="P64" s="30">
        <f t="shared" si="2"/>
        <v>0</v>
      </c>
      <c r="Q64" s="30">
        <f t="shared" si="2"/>
        <v>0</v>
      </c>
      <c r="R64" s="30">
        <f t="shared" si="2"/>
        <v>-6.5999999999999948E-3</v>
      </c>
      <c r="S64" s="30">
        <f t="shared" si="2"/>
        <v>0</v>
      </c>
      <c r="T64" s="30">
        <f t="shared" si="2"/>
        <v>-6.8000000000000005E-3</v>
      </c>
      <c r="U64" s="30">
        <f t="shared" si="2"/>
        <v>-6.5999999999999948E-3</v>
      </c>
      <c r="V64" s="30">
        <f t="shared" si="2"/>
        <v>0</v>
      </c>
      <c r="W64" s="30">
        <f t="shared" si="2"/>
        <v>0</v>
      </c>
      <c r="X64" s="30">
        <f t="shared" si="2"/>
        <v>-6.8000000000000005E-3</v>
      </c>
      <c r="Y64" s="30">
        <f t="shared" si="2"/>
        <v>-6.8000000000000005E-3</v>
      </c>
      <c r="Z64" s="30">
        <f t="shared" si="2"/>
        <v>-6.8000000000000005E-3</v>
      </c>
      <c r="AA64" s="30">
        <f t="shared" si="2"/>
        <v>-1.4999999999999944E-3</v>
      </c>
      <c r="AB64" s="30">
        <f t="shared" si="2"/>
        <v>-1.4999999999999944E-3</v>
      </c>
      <c r="AC64" s="30">
        <f t="shared" si="2"/>
        <v>-1.4999999999999944E-3</v>
      </c>
      <c r="AD64" s="30">
        <f t="shared" si="2"/>
        <v>-1.4999999999999944E-3</v>
      </c>
      <c r="AE64" s="30">
        <f t="shared" si="2"/>
        <v>-1.4999999999999944E-3</v>
      </c>
      <c r="AF64" s="30">
        <f t="shared" si="2"/>
        <v>-1.4999999999999944E-3</v>
      </c>
      <c r="AG64" s="30">
        <f t="shared" si="2"/>
        <v>1.3999999999999985E-3</v>
      </c>
      <c r="AH64" s="30">
        <f t="shared" si="2"/>
        <v>1.1000000000000038E-3</v>
      </c>
      <c r="AI64" s="30">
        <f t="shared" si="2"/>
        <v>0</v>
      </c>
      <c r="AJ64" s="30">
        <f t="shared" si="2"/>
        <v>0</v>
      </c>
      <c r="AK64" s="30">
        <f t="shared" si="2"/>
        <v>0</v>
      </c>
      <c r="AL64" s="30">
        <f t="shared" si="2"/>
        <v>0</v>
      </c>
      <c r="AM64" s="30">
        <f t="shared" si="2"/>
        <v>0</v>
      </c>
      <c r="AN64" s="30">
        <f t="shared" si="2"/>
        <v>0</v>
      </c>
      <c r="AO64" s="30">
        <f t="shared" si="2"/>
        <v>-6.9999999999999923E-4</v>
      </c>
      <c r="AP64" s="30">
        <f t="shared" si="2"/>
        <v>0</v>
      </c>
      <c r="AQ64" s="30">
        <f t="shared" si="2"/>
        <v>-1.8999999999999989E-3</v>
      </c>
      <c r="AR64" s="30">
        <f t="shared" si="2"/>
        <v>-2.8999999999999998E-3</v>
      </c>
      <c r="AS64" s="30"/>
    </row>
    <row r="65" spans="3:45" x14ac:dyDescent="0.25">
      <c r="C65" s="28">
        <v>45474</v>
      </c>
      <c r="D65" s="30">
        <f t="shared" si="0"/>
        <v>5.9999999999999637E-4</v>
      </c>
      <c r="E65" s="30">
        <f t="shared" si="2"/>
        <v>5.0599999999999999E-2</v>
      </c>
      <c r="F65" s="30">
        <f t="shared" si="2"/>
        <v>5.0000000000000044E-4</v>
      </c>
      <c r="G65" s="30">
        <f t="shared" si="2"/>
        <v>5.0000000000000044E-4</v>
      </c>
      <c r="H65" s="30">
        <f t="shared" si="2"/>
        <v>5.0000000000000044E-4</v>
      </c>
      <c r="I65" s="30">
        <f t="shared" si="2"/>
        <v>-3.9999999999999758E-4</v>
      </c>
      <c r="J65" s="30">
        <f t="shared" si="2"/>
        <v>-5.0000000000000044E-4</v>
      </c>
      <c r="K65" s="30">
        <f t="shared" si="2"/>
        <v>5.0000000000000044E-4</v>
      </c>
      <c r="L65" s="30">
        <f t="shared" si="2"/>
        <v>6.0000000000000331E-4</v>
      </c>
      <c r="M65" s="30">
        <f t="shared" si="2"/>
        <v>5.9999999999999637E-4</v>
      </c>
      <c r="N65" s="30">
        <f t="shared" si="2"/>
        <v>4.0000000000000452E-4</v>
      </c>
      <c r="O65" s="30">
        <f t="shared" si="2"/>
        <v>9.6000000000000009E-3</v>
      </c>
      <c r="P65" s="30">
        <f t="shared" si="2"/>
        <v>-2.0000000000000226E-4</v>
      </c>
      <c r="Q65" s="30">
        <f t="shared" si="2"/>
        <v>-2.9999999999999818E-4</v>
      </c>
      <c r="R65" s="30">
        <f t="shared" si="2"/>
        <v>-7.000000000000027E-4</v>
      </c>
      <c r="S65" s="30">
        <f t="shared" si="2"/>
        <v>3.1099999999999999E-2</v>
      </c>
      <c r="T65" s="30">
        <f t="shared" si="2"/>
        <v>-5.9999999999999637E-4</v>
      </c>
      <c r="U65" s="30">
        <f t="shared" si="2"/>
        <v>-7.000000000000027E-4</v>
      </c>
      <c r="V65" s="30">
        <f t="shared" si="2"/>
        <v>-2.2000000000000006E-3</v>
      </c>
      <c r="W65" s="30">
        <f t="shared" si="2"/>
        <v>-2.3000000000000034E-3</v>
      </c>
      <c r="X65" s="30">
        <f t="shared" si="2"/>
        <v>-5.9999999999999637E-4</v>
      </c>
      <c r="Y65" s="30">
        <f t="shared" si="2"/>
        <v>-5.9999999999999637E-4</v>
      </c>
      <c r="Z65" s="30">
        <f t="shared" si="2"/>
        <v>-5.9999999999999637E-4</v>
      </c>
      <c r="AA65" s="30">
        <f t="shared" si="2"/>
        <v>4.9999999999999351E-4</v>
      </c>
      <c r="AB65" s="30">
        <f t="shared" si="2"/>
        <v>4.9999999999999351E-4</v>
      </c>
      <c r="AC65" s="30">
        <f t="shared" si="2"/>
        <v>4.9999999999999351E-4</v>
      </c>
      <c r="AD65" s="30">
        <f t="shared" si="2"/>
        <v>4.9999999999999351E-4</v>
      </c>
      <c r="AE65" s="30">
        <f t="shared" si="2"/>
        <v>4.9999999999999351E-4</v>
      </c>
      <c r="AF65" s="30">
        <f t="shared" si="2"/>
        <v>4.9999999999999351E-4</v>
      </c>
      <c r="AG65" s="30">
        <f t="shared" si="2"/>
        <v>-1.9999999999999879E-4</v>
      </c>
      <c r="AH65" s="30">
        <f t="shared" si="2"/>
        <v>-1.0000000000000286E-4</v>
      </c>
      <c r="AI65" s="30">
        <f t="shared" si="2"/>
        <v>5.9999999999999637E-4</v>
      </c>
      <c r="AJ65" s="30">
        <f t="shared" si="2"/>
        <v>5.9999999999999637E-4</v>
      </c>
      <c r="AK65" s="30">
        <f t="shared" si="2"/>
        <v>3.0000000000000165E-4</v>
      </c>
      <c r="AL65" s="30">
        <f t="shared" si="2"/>
        <v>2.2800000000000001E-2</v>
      </c>
      <c r="AM65" s="30">
        <f t="shared" si="2"/>
        <v>3.0000000000000165E-4</v>
      </c>
      <c r="AN65" s="30">
        <f t="shared" si="2"/>
        <v>3.0000000000000165E-4</v>
      </c>
      <c r="AO65" s="30">
        <f t="shared" si="2"/>
        <v>5.0000000000000044E-4</v>
      </c>
      <c r="AP65" s="30">
        <f t="shared" si="2"/>
        <v>4.9000000000000002E-2</v>
      </c>
      <c r="AQ65" s="30">
        <f t="shared" si="2"/>
        <v>5.9999999999999637E-4</v>
      </c>
      <c r="AR65" s="30">
        <f t="shared" si="2"/>
        <v>5.9999999999999637E-4</v>
      </c>
      <c r="AS65" s="30"/>
    </row>
    <row r="66" spans="3:45" x14ac:dyDescent="0.25">
      <c r="C66" s="28">
        <v>45505</v>
      </c>
      <c r="D66" s="30">
        <f t="shared" si="0"/>
        <v>-5.9999999999999637E-4</v>
      </c>
      <c r="E66" s="30">
        <f t="shared" si="2"/>
        <v>-6.9999999999999923E-4</v>
      </c>
      <c r="F66" s="30">
        <f t="shared" si="2"/>
        <v>-5.9999999999999637E-4</v>
      </c>
      <c r="G66" s="30">
        <f t="shared" si="2"/>
        <v>-5.9999999999999637E-4</v>
      </c>
      <c r="H66" s="30">
        <f t="shared" si="2"/>
        <v>-3.9999999999999758E-4</v>
      </c>
      <c r="I66" s="30">
        <f t="shared" si="2"/>
        <v>-5.0000000000000044E-4</v>
      </c>
      <c r="J66" s="30">
        <f t="shared" si="2"/>
        <v>-5.9999999999999637E-4</v>
      </c>
      <c r="K66" s="30">
        <f t="shared" si="2"/>
        <v>-5.9999999999999637E-4</v>
      </c>
      <c r="L66" s="30">
        <f t="shared" si="2"/>
        <v>-7.0000000000000617E-4</v>
      </c>
      <c r="M66" s="30">
        <f t="shared" si="2"/>
        <v>-6.9999999999999923E-4</v>
      </c>
      <c r="N66" s="30">
        <f t="shared" si="2"/>
        <v>-5.0000000000000044E-4</v>
      </c>
      <c r="O66" s="30">
        <f t="shared" si="2"/>
        <v>-4.0000000000000452E-4</v>
      </c>
      <c r="P66" s="30">
        <f t="shared" si="2"/>
        <v>-2.9999999999999818E-4</v>
      </c>
      <c r="Q66" s="30">
        <f t="shared" si="2"/>
        <v>-3.0000000000000165E-4</v>
      </c>
      <c r="R66" s="30">
        <f t="shared" si="2"/>
        <v>-7.9999999999999863E-4</v>
      </c>
      <c r="S66" s="30">
        <f t="shared" si="2"/>
        <v>-7.9999999999999863E-4</v>
      </c>
      <c r="T66" s="30">
        <f t="shared" si="2"/>
        <v>-1.0000000000000009E-3</v>
      </c>
      <c r="U66" s="30">
        <f t="shared" si="2"/>
        <v>-7.9999999999999863E-4</v>
      </c>
      <c r="V66" s="30">
        <f t="shared" si="2"/>
        <v>-8.9999999999999802E-4</v>
      </c>
      <c r="W66" s="30">
        <f t="shared" si="2"/>
        <v>-1.0000000000000009E-3</v>
      </c>
      <c r="X66" s="30">
        <f t="shared" si="2"/>
        <v>-1.0000000000000009E-3</v>
      </c>
      <c r="Y66" s="30">
        <f t="shared" si="2"/>
        <v>-1.0000000000000009E-3</v>
      </c>
      <c r="Z66" s="30">
        <f t="shared" si="2"/>
        <v>-1.0000000000000009E-3</v>
      </c>
      <c r="AA66" s="30">
        <f t="shared" si="2"/>
        <v>-8.9999999999999802E-4</v>
      </c>
      <c r="AB66" s="30">
        <f t="shared" si="2"/>
        <v>-8.9999999999999802E-4</v>
      </c>
      <c r="AC66" s="30">
        <f t="shared" si="2"/>
        <v>-8.9999999999999802E-4</v>
      </c>
      <c r="AD66" s="30">
        <f t="shared" si="2"/>
        <v>-8.9999999999999802E-4</v>
      </c>
      <c r="AE66" s="30">
        <f t="shared" si="2"/>
        <v>-8.9999999999999802E-4</v>
      </c>
      <c r="AF66" s="30">
        <f t="shared" si="2"/>
        <v>-8.9999999999999802E-4</v>
      </c>
      <c r="AG66" s="30">
        <f t="shared" si="2"/>
        <v>-2.0000000000000573E-4</v>
      </c>
      <c r="AH66" s="30">
        <f t="shared" si="2"/>
        <v>-1.9999999999999879E-4</v>
      </c>
      <c r="AI66" s="30">
        <f t="shared" si="2"/>
        <v>-1.9999999999999879E-4</v>
      </c>
      <c r="AJ66" s="30">
        <f t="shared" si="2"/>
        <v>-1.9999999999999879E-4</v>
      </c>
      <c r="AK66" s="30">
        <f t="shared" si="2"/>
        <v>3.2399999999999998E-2</v>
      </c>
      <c r="AL66" s="30">
        <f t="shared" si="2"/>
        <v>9.9999999999999395E-5</v>
      </c>
      <c r="AM66" s="30">
        <f t="shared" si="2"/>
        <v>9.9999999999999395E-5</v>
      </c>
      <c r="AN66" s="30">
        <f t="shared" si="2"/>
        <v>9.9999999999999395E-5</v>
      </c>
      <c r="AO66" s="30">
        <f t="shared" si="2"/>
        <v>-7.9999999999999516E-4</v>
      </c>
      <c r="AP66" s="30">
        <f t="shared" si="2"/>
        <v>-8.000000000000021E-4</v>
      </c>
      <c r="AQ66" s="30">
        <f t="shared" si="2"/>
        <v>-8.9999999999999802E-4</v>
      </c>
      <c r="AR66" s="30">
        <f t="shared" si="2"/>
        <v>-7.9999999999999516E-4</v>
      </c>
      <c r="AS66" s="30"/>
    </row>
    <row r="67" spans="3:45" x14ac:dyDescent="0.25">
      <c r="C67" s="28">
        <v>45538</v>
      </c>
      <c r="D67" s="30">
        <f t="shared" si="0"/>
        <v>8.9999999999999802E-4</v>
      </c>
      <c r="E67" s="30">
        <f t="shared" si="2"/>
        <v>1.0000000000000009E-3</v>
      </c>
      <c r="F67" s="30">
        <f t="shared" si="2"/>
        <v>8.9999999999999802E-4</v>
      </c>
      <c r="G67" s="30">
        <f t="shared" si="2"/>
        <v>8.9999999999999802E-4</v>
      </c>
      <c r="H67" s="30">
        <f t="shared" si="2"/>
        <v>5.9999999999999637E-4</v>
      </c>
      <c r="I67" s="30">
        <f t="shared" si="2"/>
        <v>6.9999999999999923E-4</v>
      </c>
      <c r="J67" s="30">
        <f t="shared" si="2"/>
        <v>7.9999999999999516E-4</v>
      </c>
      <c r="K67" s="30">
        <f t="shared" si="2"/>
        <v>8.9999999999999802E-4</v>
      </c>
      <c r="L67" s="30">
        <f t="shared" si="2"/>
        <v>1.0000000000000009E-3</v>
      </c>
      <c r="M67" s="30">
        <f t="shared" si="2"/>
        <v>1.0000000000000009E-3</v>
      </c>
      <c r="N67" s="30">
        <f t="shared" si="2"/>
        <v>6.9999999999999923E-4</v>
      </c>
      <c r="O67" s="30">
        <f t="shared" si="2"/>
        <v>4.9000000000000016E-3</v>
      </c>
      <c r="P67" s="30">
        <f t="shared" si="2"/>
        <v>3.9999999999999758E-4</v>
      </c>
      <c r="Q67" s="30">
        <f t="shared" si="2"/>
        <v>5.0000000000000044E-4</v>
      </c>
      <c r="R67" s="30">
        <f t="shared" si="2"/>
        <v>-5.0000000000000044E-4</v>
      </c>
      <c r="S67" s="30">
        <f t="shared" si="2"/>
        <v>-5.0000000000000044E-4</v>
      </c>
      <c r="T67" s="30">
        <f t="shared" si="2"/>
        <v>-3.9999999999999758E-4</v>
      </c>
      <c r="U67" s="30">
        <f t="shared" si="2"/>
        <v>-5.0000000000000044E-4</v>
      </c>
      <c r="V67" s="30">
        <f t="shared" si="2"/>
        <v>-5.0000000000000044E-4</v>
      </c>
      <c r="W67" s="30">
        <f t="shared" si="2"/>
        <v>-2.9999999999999472E-4</v>
      </c>
      <c r="X67" s="30">
        <f t="shared" si="2"/>
        <v>-3.9999999999999758E-4</v>
      </c>
      <c r="Y67" s="30">
        <f t="shared" si="2"/>
        <v>-3.9999999999999758E-4</v>
      </c>
      <c r="Z67" s="30">
        <f t="shared" si="2"/>
        <v>-3.9999999999999758E-4</v>
      </c>
      <c r="AA67" s="30">
        <f t="shared" si="2"/>
        <v>1.1999999999999997E-3</v>
      </c>
      <c r="AB67" s="30">
        <f t="shared" si="2"/>
        <v>1.1999999999999997E-3</v>
      </c>
      <c r="AC67" s="30">
        <f t="shared" si="2"/>
        <v>1.1999999999999997E-3</v>
      </c>
      <c r="AD67" s="30">
        <f t="shared" si="2"/>
        <v>1.1999999999999997E-3</v>
      </c>
      <c r="AE67" s="30">
        <f t="shared" si="2"/>
        <v>1.1999999999999997E-3</v>
      </c>
      <c r="AF67" s="30">
        <f t="shared" si="2"/>
        <v>1.1999999999999997E-3</v>
      </c>
      <c r="AG67" s="30">
        <f t="shared" si="2"/>
        <v>-1.5999999999999973E-3</v>
      </c>
      <c r="AH67" s="30">
        <f t="shared" si="2"/>
        <v>-1.1999999999999997E-3</v>
      </c>
      <c r="AI67" s="30">
        <f t="shared" si="2"/>
        <v>-1.1999999999999997E-3</v>
      </c>
      <c r="AJ67" s="30">
        <f t="shared" si="2"/>
        <v>-1.3000000000000025E-3</v>
      </c>
      <c r="AK67" s="30">
        <f t="shared" si="2"/>
        <v>-3.4000000000000002E-3</v>
      </c>
      <c r="AL67" s="30">
        <f t="shared" si="2"/>
        <v>2.8899999999999999E-2</v>
      </c>
      <c r="AM67" s="30">
        <f t="shared" si="2"/>
        <v>2.8899999999999999E-2</v>
      </c>
      <c r="AN67" s="30">
        <f t="shared" si="2"/>
        <v>2.8899999999999999E-2</v>
      </c>
      <c r="AO67" s="30">
        <f t="shared" si="2"/>
        <v>2.9999999999999472E-4</v>
      </c>
      <c r="AP67" s="30">
        <f t="shared" si="2"/>
        <v>3.0000000000000165E-4</v>
      </c>
      <c r="AQ67" s="30">
        <f t="shared" si="2"/>
        <v>3.9999999999999758E-4</v>
      </c>
      <c r="AR67" s="30">
        <f t="shared" si="2"/>
        <v>3.0000000000000165E-4</v>
      </c>
      <c r="AS67" s="30"/>
    </row>
    <row r="68" spans="3:45" x14ac:dyDescent="0.25">
      <c r="C68" s="28">
        <v>45566</v>
      </c>
      <c r="D68" s="30">
        <f t="shared" si="0"/>
        <v>-1.1000000000000038E-3</v>
      </c>
      <c r="E68" s="30">
        <f t="shared" si="2"/>
        <v>-1.0000000000000286E-4</v>
      </c>
      <c r="F68" s="30">
        <f t="shared" si="2"/>
        <v>0</v>
      </c>
      <c r="G68" s="30">
        <f t="shared" si="2"/>
        <v>0</v>
      </c>
      <c r="H68" s="30">
        <f t="shared" si="2"/>
        <v>0</v>
      </c>
      <c r="I68" s="30">
        <f t="shared" si="2"/>
        <v>0</v>
      </c>
      <c r="J68" s="30">
        <f t="shared" si="2"/>
        <v>0</v>
      </c>
      <c r="K68" s="30">
        <f t="shared" si="2"/>
        <v>0</v>
      </c>
      <c r="L68" s="30">
        <f t="shared" si="2"/>
        <v>8.9999999999999802E-4</v>
      </c>
      <c r="M68" s="30">
        <f t="shared" si="2"/>
        <v>0</v>
      </c>
      <c r="N68" s="30">
        <f t="shared" si="2"/>
        <v>0</v>
      </c>
      <c r="O68" s="30">
        <f t="shared" si="2"/>
        <v>-9.500000000000005E-3</v>
      </c>
      <c r="P68" s="30">
        <f t="shared" si="2"/>
        <v>-9.9999999999999395E-5</v>
      </c>
      <c r="Q68" s="30">
        <f t="shared" si="2"/>
        <v>-9.9999999999999395E-5</v>
      </c>
      <c r="R68" s="30">
        <f t="shared" si="2"/>
        <v>1.9999999999999879E-4</v>
      </c>
      <c r="S68" s="30">
        <f t="shared" si="2"/>
        <v>1.9999999999999879E-4</v>
      </c>
      <c r="T68" s="30">
        <f t="shared" si="2"/>
        <v>2.9999999999999472E-4</v>
      </c>
      <c r="U68" s="30">
        <f t="shared" si="2"/>
        <v>1.9999999999999879E-4</v>
      </c>
      <c r="V68" s="30">
        <f t="shared" si="2"/>
        <v>1.9999999999999879E-4</v>
      </c>
      <c r="W68" s="30">
        <f t="shared" si="2"/>
        <v>1.9999999999999879E-4</v>
      </c>
      <c r="X68" s="30">
        <f t="shared" si="2"/>
        <v>2.9999999999999472E-4</v>
      </c>
      <c r="Y68" s="30">
        <f t="shared" si="2"/>
        <v>2.9999999999999472E-4</v>
      </c>
      <c r="Z68" s="30">
        <f t="shared" si="2"/>
        <v>2.9999999999999472E-4</v>
      </c>
      <c r="AA68" s="30">
        <f t="shared" si="2"/>
        <v>1.0000000000000286E-4</v>
      </c>
      <c r="AB68" s="30">
        <f t="shared" si="2"/>
        <v>1.0000000000000286E-4</v>
      </c>
      <c r="AC68" s="30">
        <f t="shared" si="2"/>
        <v>1.0000000000000286E-4</v>
      </c>
      <c r="AD68" s="30">
        <f t="shared" si="2"/>
        <v>1.0000000000000286E-4</v>
      </c>
      <c r="AE68" s="30">
        <f t="shared" si="2"/>
        <v>1.0000000000000286E-4</v>
      </c>
      <c r="AF68" s="30">
        <f t="shared" si="2"/>
        <v>1.0000000000000286E-4</v>
      </c>
      <c r="AG68" s="30">
        <f t="shared" si="2"/>
        <v>-1.1999999999999997E-3</v>
      </c>
      <c r="AH68" s="30">
        <f t="shared" si="2"/>
        <v>-1.0000000000000009E-3</v>
      </c>
      <c r="AI68" s="30">
        <f t="shared" si="2"/>
        <v>-8.9999999999999802E-4</v>
      </c>
      <c r="AJ68" s="30">
        <f t="shared" si="2"/>
        <v>-1.0000000000000009E-3</v>
      </c>
      <c r="AK68" s="30">
        <f t="shared" si="2"/>
        <v>-2.87E-2</v>
      </c>
      <c r="AL68" s="30">
        <f t="shared" si="2"/>
        <v>2.9999999999999818E-4</v>
      </c>
      <c r="AM68" s="30">
        <f t="shared" si="2"/>
        <v>2.9999999999999818E-4</v>
      </c>
      <c r="AN68" s="30">
        <f t="shared" si="2"/>
        <v>2.9999999999999818E-4</v>
      </c>
      <c r="AO68" s="30">
        <f t="shared" si="2"/>
        <v>-5.9999999999999637E-4</v>
      </c>
      <c r="AP68" s="30">
        <f t="shared" si="2"/>
        <v>-6.9999999999999923E-4</v>
      </c>
      <c r="AQ68" s="30">
        <f t="shared" si="2"/>
        <v>-5.9999999999999637E-4</v>
      </c>
      <c r="AR68" s="30">
        <f t="shared" si="2"/>
        <v>3.9999999999999758E-4</v>
      </c>
      <c r="AS68" s="30"/>
    </row>
    <row r="69" spans="3:45" x14ac:dyDescent="0.25">
      <c r="C69" s="28">
        <v>45597</v>
      </c>
      <c r="D69" s="30">
        <f>D23-D47</f>
        <v>1.7000000000000001E-3</v>
      </c>
      <c r="E69" s="30">
        <f t="shared" ref="E69:AR69" si="3">E23-E47</f>
        <v>1.7000000000000001E-3</v>
      </c>
      <c r="F69" s="30">
        <f t="shared" si="3"/>
        <v>1.7000000000000001E-3</v>
      </c>
      <c r="G69" s="30">
        <f t="shared" si="3"/>
        <v>1.7000000000000001E-3</v>
      </c>
      <c r="H69" s="30">
        <f t="shared" si="3"/>
        <v>1.3000000000000025E-3</v>
      </c>
      <c r="I69" s="30">
        <f t="shared" si="3"/>
        <v>1.3999999999999985E-3</v>
      </c>
      <c r="J69" s="30">
        <f t="shared" si="3"/>
        <v>1.5000000000000013E-3</v>
      </c>
      <c r="K69" s="30">
        <f t="shared" si="3"/>
        <v>1.7000000000000001E-3</v>
      </c>
      <c r="L69" s="30">
        <f t="shared" si="3"/>
        <v>1.7000000000000001E-3</v>
      </c>
      <c r="M69" s="30">
        <f t="shared" si="3"/>
        <v>1.7000000000000001E-3</v>
      </c>
      <c r="N69" s="30">
        <f t="shared" si="3"/>
        <v>1.1999999999999997E-3</v>
      </c>
      <c r="O69" s="30">
        <f t="shared" si="3"/>
        <v>8.000000000000021E-4</v>
      </c>
      <c r="P69" s="30">
        <f t="shared" si="3"/>
        <v>8.000000000000021E-4</v>
      </c>
      <c r="Q69" s="30">
        <f t="shared" si="3"/>
        <v>1.0999999999999968E-3</v>
      </c>
      <c r="R69" s="30">
        <f t="shared" si="3"/>
        <v>1.3999999999999985E-3</v>
      </c>
      <c r="S69" s="30">
        <f t="shared" si="3"/>
        <v>1.3999999999999985E-3</v>
      </c>
      <c r="T69" s="30">
        <f t="shared" si="3"/>
        <v>1.7000000000000001E-3</v>
      </c>
      <c r="U69" s="30">
        <f t="shared" si="3"/>
        <v>1.3999999999999985E-3</v>
      </c>
      <c r="V69" s="30">
        <f t="shared" si="3"/>
        <v>1.6000000000000042E-3</v>
      </c>
      <c r="W69" s="30">
        <f t="shared" si="3"/>
        <v>1.799999999999996E-3</v>
      </c>
      <c r="X69" s="30">
        <f t="shared" si="3"/>
        <v>1.7000000000000001E-3</v>
      </c>
      <c r="Y69" s="30">
        <f t="shared" si="3"/>
        <v>1.7000000000000001E-3</v>
      </c>
      <c r="Z69" s="30">
        <f t="shared" si="3"/>
        <v>1.7000000000000001E-3</v>
      </c>
      <c r="AA69" s="30">
        <f t="shared" si="3"/>
        <v>1.799999999999996E-3</v>
      </c>
      <c r="AB69" s="30">
        <f t="shared" si="3"/>
        <v>1.799999999999996E-3</v>
      </c>
      <c r="AC69" s="30">
        <f t="shared" si="3"/>
        <v>1.799999999999996E-3</v>
      </c>
      <c r="AD69" s="30">
        <f t="shared" si="3"/>
        <v>1.799999999999996E-3</v>
      </c>
      <c r="AE69" s="30">
        <f t="shared" si="3"/>
        <v>1.799999999999996E-3</v>
      </c>
      <c r="AF69" s="30">
        <f t="shared" si="3"/>
        <v>1.799999999999996E-3</v>
      </c>
      <c r="AG69" s="30">
        <f t="shared" si="3"/>
        <v>6.9999999999999923E-4</v>
      </c>
      <c r="AH69" s="30">
        <f t="shared" si="3"/>
        <v>5.0000000000000044E-4</v>
      </c>
      <c r="AI69" s="30">
        <f t="shared" si="3"/>
        <v>4.9999999999999351E-4</v>
      </c>
      <c r="AJ69" s="30">
        <f t="shared" si="3"/>
        <v>5.0000000000000044E-4</v>
      </c>
      <c r="AK69" s="30">
        <f t="shared" si="3"/>
        <v>5.0000000000000044E-4</v>
      </c>
      <c r="AL69" s="30">
        <f t="shared" si="3"/>
        <v>5.0000000000000044E-4</v>
      </c>
      <c r="AM69" s="30">
        <f t="shared" si="3"/>
        <v>5.0000000000000044E-4</v>
      </c>
      <c r="AN69" s="30">
        <f t="shared" si="3"/>
        <v>5.0000000000000044E-4</v>
      </c>
      <c r="AO69" s="30">
        <f t="shared" si="3"/>
        <v>1.8999999999999989E-3</v>
      </c>
      <c r="AP69" s="30">
        <f t="shared" si="3"/>
        <v>1.9999999999999948E-3</v>
      </c>
      <c r="AQ69" s="30">
        <f t="shared" si="3"/>
        <v>2.0999999999999977E-3</v>
      </c>
      <c r="AR69" s="30">
        <f t="shared" si="3"/>
        <v>2.0999999999999977E-3</v>
      </c>
      <c r="AS69" s="30"/>
    </row>
    <row r="70" spans="3:45" x14ac:dyDescent="0.25">
      <c r="C70" s="28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StartingPt</vt:lpstr>
      <vt:lpstr>ProductDetailsByHedgeDate</vt:lpstr>
      <vt:lpstr>Checks_vs_1104_HedgeFile</vt:lpstr>
      <vt:lpstr>New_HdgFctrLU_Tbl</vt:lpstr>
      <vt:lpstr>New_HedgeDates_Tbl</vt:lpstr>
      <vt:lpstr>Checks</vt:lpstr>
      <vt:lpstr>Budget_Checks</vt:lpstr>
      <vt:lpstr>StartDt</vt:lpstr>
    </vt:vector>
  </TitlesOfParts>
  <Company>Reinsurance Group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Innerfield, Irin</dc:creator>
  <cp:lastModifiedBy>Innerfield, Irin</cp:lastModifiedBy>
  <dcterms:created xsi:type="dcterms:W3CDTF">2024-11-21T15:58:43Z</dcterms:created>
  <dcterms:modified xsi:type="dcterms:W3CDTF">2024-11-22T23:13:21Z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757d4c8-9aa7-470a-95ee-e37723976709_Enabled">
    <vt:lpwstr>true</vt:lpwstr>
  </property>
  <property fmtid="{D5CDD505-2E9C-101B-9397-08002B2CF9AE}" pid="3" name="MSIP_Label_d757d4c8-9aa7-470a-95ee-e37723976709_SetDate">
    <vt:lpwstr>2024-11-21T15:59:54Z</vt:lpwstr>
  </property>
  <property fmtid="{D5CDD505-2E9C-101B-9397-08002B2CF9AE}" pid="4" name="MSIP_Label_d757d4c8-9aa7-470a-95ee-e37723976709_Method">
    <vt:lpwstr>Standard</vt:lpwstr>
  </property>
  <property fmtid="{D5CDD505-2E9C-101B-9397-08002B2CF9AE}" pid="5" name="MSIP_Label_d757d4c8-9aa7-470a-95ee-e37723976709_Name">
    <vt:lpwstr>Internal</vt:lpwstr>
  </property>
  <property fmtid="{D5CDD505-2E9C-101B-9397-08002B2CF9AE}" pid="6" name="MSIP_Label_d757d4c8-9aa7-470a-95ee-e37723976709_SiteId">
    <vt:lpwstr>3425dff1-3121-4de4-a918-893fc94ebbbc</vt:lpwstr>
  </property>
  <property fmtid="{D5CDD505-2E9C-101B-9397-08002B2CF9AE}" pid="7" name="MSIP_Label_d757d4c8-9aa7-470a-95ee-e37723976709_ActionId">
    <vt:lpwstr>464fe23e-a175-474e-a86a-96cec7011a5c</vt:lpwstr>
  </property>
  <property fmtid="{D5CDD505-2E9C-101B-9397-08002B2CF9AE}" pid="8" name="MSIP_Label_d757d4c8-9aa7-470a-95ee-e37723976709_ContentBits">
    <vt:lpwstr>0</vt:lpwstr>
  </property>
</Properties>
</file>